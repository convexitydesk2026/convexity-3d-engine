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nca\Desktop\Desktop HP Envy x360 al 22Abr24\Docs Manuel\IBKR_Options\"/>
    </mc:Choice>
  </mc:AlternateContent>
  <xr:revisionPtr revIDLastSave="0" documentId="13_ncr:1_{53EFA9CC-D836-4A86-BBE9-83A1FE5397A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Options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3" i="1"/>
  <c r="N4" i="1"/>
  <c r="N5" i="1"/>
  <c r="N6" i="1"/>
  <c r="N7" i="1"/>
  <c r="N8" i="1"/>
  <c r="N9" i="1"/>
  <c r="N10" i="1"/>
  <c r="N11" i="1"/>
  <c r="N12" i="1"/>
  <c r="N13" i="1"/>
  <c r="N14" i="1"/>
  <c r="N2" i="1"/>
  <c r="J71" i="1"/>
  <c r="R71" i="1" s="1"/>
  <c r="K71" i="1"/>
  <c r="L71" i="1"/>
  <c r="P71" i="1"/>
  <c r="Q71" i="1"/>
  <c r="J72" i="1"/>
  <c r="K72" i="1"/>
  <c r="L72" i="1"/>
  <c r="P72" i="1"/>
  <c r="Q72" i="1"/>
  <c r="R72" i="1" s="1"/>
  <c r="J73" i="1"/>
  <c r="K73" i="1"/>
  <c r="L73" i="1"/>
  <c r="P73" i="1"/>
  <c r="Q73" i="1"/>
  <c r="J74" i="1"/>
  <c r="K74" i="1"/>
  <c r="L74" i="1"/>
  <c r="P74" i="1"/>
  <c r="Q74" i="1"/>
  <c r="R74" i="1" s="1"/>
  <c r="J75" i="1"/>
  <c r="K75" i="1"/>
  <c r="L75" i="1"/>
  <c r="P75" i="1"/>
  <c r="Q75" i="1"/>
  <c r="J76" i="1"/>
  <c r="R76" i="1" s="1"/>
  <c r="K76" i="1"/>
  <c r="L76" i="1"/>
  <c r="P76" i="1"/>
  <c r="Q76" i="1"/>
  <c r="J77" i="1"/>
  <c r="R77" i="1" s="1"/>
  <c r="K77" i="1"/>
  <c r="L77" i="1"/>
  <c r="P77" i="1"/>
  <c r="Q77" i="1"/>
  <c r="J78" i="1"/>
  <c r="K78" i="1"/>
  <c r="L78" i="1"/>
  <c r="P78" i="1"/>
  <c r="Q78" i="1"/>
  <c r="J79" i="1"/>
  <c r="K79" i="1"/>
  <c r="L79" i="1"/>
  <c r="P79" i="1"/>
  <c r="Q79" i="1"/>
  <c r="R79" i="1" s="1"/>
  <c r="J80" i="1"/>
  <c r="K80" i="1"/>
  <c r="L80" i="1"/>
  <c r="P80" i="1"/>
  <c r="Q80" i="1"/>
  <c r="J81" i="1"/>
  <c r="K81" i="1"/>
  <c r="L81" i="1"/>
  <c r="P81" i="1"/>
  <c r="Q81" i="1"/>
  <c r="R81" i="1" s="1"/>
  <c r="J82" i="1"/>
  <c r="K82" i="1"/>
  <c r="L82" i="1"/>
  <c r="P82" i="1"/>
  <c r="Q82" i="1"/>
  <c r="R82" i="1" s="1"/>
  <c r="J83" i="1"/>
  <c r="R83" i="1" s="1"/>
  <c r="K83" i="1"/>
  <c r="L83" i="1"/>
  <c r="P83" i="1"/>
  <c r="Q83" i="1"/>
  <c r="J84" i="1"/>
  <c r="K84" i="1"/>
  <c r="L84" i="1"/>
  <c r="P84" i="1"/>
  <c r="Q84" i="1"/>
  <c r="R84" i="1" s="1"/>
  <c r="J85" i="1"/>
  <c r="K85" i="1"/>
  <c r="L85" i="1"/>
  <c r="P85" i="1"/>
  <c r="Q85" i="1"/>
  <c r="R85" i="1" s="1"/>
  <c r="J86" i="1"/>
  <c r="K86" i="1"/>
  <c r="L86" i="1"/>
  <c r="P86" i="1"/>
  <c r="Q86" i="1"/>
  <c r="R86" i="1"/>
  <c r="J87" i="1"/>
  <c r="R87" i="1" s="1"/>
  <c r="K87" i="1"/>
  <c r="L87" i="1"/>
  <c r="P87" i="1"/>
  <c r="Q87" i="1"/>
  <c r="J88" i="1"/>
  <c r="K88" i="1"/>
  <c r="L88" i="1"/>
  <c r="P88" i="1"/>
  <c r="Q88" i="1"/>
  <c r="R88" i="1" s="1"/>
  <c r="S88" i="1" s="1"/>
  <c r="J89" i="1"/>
  <c r="K89" i="1"/>
  <c r="L89" i="1"/>
  <c r="P89" i="1"/>
  <c r="Q89" i="1"/>
  <c r="J90" i="1"/>
  <c r="R90" i="1" s="1"/>
  <c r="K90" i="1"/>
  <c r="L90" i="1"/>
  <c r="P90" i="1"/>
  <c r="Q90" i="1"/>
  <c r="J91" i="1"/>
  <c r="R91" i="1" s="1"/>
  <c r="K91" i="1"/>
  <c r="L91" i="1"/>
  <c r="P91" i="1"/>
  <c r="Q91" i="1"/>
  <c r="J92" i="1"/>
  <c r="K92" i="1"/>
  <c r="L92" i="1"/>
  <c r="P92" i="1"/>
  <c r="Q92" i="1"/>
  <c r="R92" i="1"/>
  <c r="J93" i="1"/>
  <c r="K93" i="1"/>
  <c r="L93" i="1"/>
  <c r="P93" i="1"/>
  <c r="Q93" i="1"/>
  <c r="R93" i="1"/>
  <c r="J94" i="1"/>
  <c r="R94" i="1" s="1"/>
  <c r="K94" i="1"/>
  <c r="L94" i="1"/>
  <c r="P94" i="1"/>
  <c r="Q94" i="1"/>
  <c r="J95" i="1"/>
  <c r="K95" i="1"/>
  <c r="L95" i="1"/>
  <c r="P95" i="1"/>
  <c r="Q95" i="1"/>
  <c r="R95" i="1" s="1"/>
  <c r="S95" i="1" s="1"/>
  <c r="J96" i="1"/>
  <c r="K96" i="1"/>
  <c r="L96" i="1"/>
  <c r="P96" i="1"/>
  <c r="Q96" i="1"/>
  <c r="J97" i="1"/>
  <c r="K97" i="1"/>
  <c r="L97" i="1"/>
  <c r="P97" i="1"/>
  <c r="Q97" i="1"/>
  <c r="J98" i="1"/>
  <c r="K98" i="1"/>
  <c r="L98" i="1"/>
  <c r="P98" i="1"/>
  <c r="Q98" i="1"/>
  <c r="R98" i="1" s="1"/>
  <c r="J99" i="1"/>
  <c r="K99" i="1"/>
  <c r="L99" i="1"/>
  <c r="P99" i="1"/>
  <c r="Q99" i="1"/>
  <c r="R99" i="1" s="1"/>
  <c r="J100" i="1"/>
  <c r="K100" i="1"/>
  <c r="L100" i="1"/>
  <c r="P100" i="1"/>
  <c r="Q100" i="1"/>
  <c r="J101" i="1"/>
  <c r="K101" i="1"/>
  <c r="L101" i="1"/>
  <c r="P101" i="1"/>
  <c r="Q101" i="1"/>
  <c r="R101" i="1"/>
  <c r="S101" i="1" s="1"/>
  <c r="J46" i="1"/>
  <c r="K46" i="1"/>
  <c r="L46" i="1"/>
  <c r="P46" i="1"/>
  <c r="Q46" i="1"/>
  <c r="R46" i="1" s="1"/>
  <c r="J47" i="1"/>
  <c r="K47" i="1"/>
  <c r="L47" i="1"/>
  <c r="P47" i="1"/>
  <c r="Q47" i="1"/>
  <c r="R47" i="1"/>
  <c r="J48" i="1"/>
  <c r="R48" i="1" s="1"/>
  <c r="K48" i="1"/>
  <c r="L48" i="1"/>
  <c r="P48" i="1"/>
  <c r="Q48" i="1"/>
  <c r="J49" i="1"/>
  <c r="K49" i="1"/>
  <c r="L49" i="1"/>
  <c r="P49" i="1"/>
  <c r="Q49" i="1"/>
  <c r="R49" i="1" s="1"/>
  <c r="J50" i="1"/>
  <c r="K50" i="1"/>
  <c r="L50" i="1"/>
  <c r="P50" i="1"/>
  <c r="Q50" i="1"/>
  <c r="J51" i="1"/>
  <c r="K51" i="1"/>
  <c r="L51" i="1"/>
  <c r="P51" i="1"/>
  <c r="Q51" i="1"/>
  <c r="J52" i="1"/>
  <c r="K52" i="1"/>
  <c r="L52" i="1"/>
  <c r="P52" i="1"/>
  <c r="Q52" i="1"/>
  <c r="R52" i="1" s="1"/>
  <c r="S52" i="1" s="1"/>
  <c r="J53" i="1"/>
  <c r="K53" i="1"/>
  <c r="L53" i="1"/>
  <c r="P53" i="1"/>
  <c r="Q53" i="1"/>
  <c r="R53" i="1"/>
  <c r="S53" i="1"/>
  <c r="J54" i="1"/>
  <c r="R54" i="1" s="1"/>
  <c r="K54" i="1"/>
  <c r="L54" i="1"/>
  <c r="P54" i="1"/>
  <c r="Q54" i="1"/>
  <c r="J55" i="1"/>
  <c r="K55" i="1"/>
  <c r="L55" i="1"/>
  <c r="P55" i="1"/>
  <c r="Q55" i="1"/>
  <c r="J56" i="1"/>
  <c r="K56" i="1"/>
  <c r="L56" i="1"/>
  <c r="P56" i="1"/>
  <c r="Q56" i="1"/>
  <c r="R56" i="1"/>
  <c r="J57" i="1"/>
  <c r="R57" i="1" s="1"/>
  <c r="K57" i="1"/>
  <c r="L57" i="1"/>
  <c r="P57" i="1"/>
  <c r="Q57" i="1"/>
  <c r="J58" i="1"/>
  <c r="R58" i="1" s="1"/>
  <c r="K58" i="1"/>
  <c r="L58" i="1"/>
  <c r="P58" i="1"/>
  <c r="Q58" i="1"/>
  <c r="J59" i="1"/>
  <c r="K59" i="1"/>
  <c r="L59" i="1"/>
  <c r="P59" i="1"/>
  <c r="Q59" i="1"/>
  <c r="R59" i="1" s="1"/>
  <c r="J60" i="1"/>
  <c r="K60" i="1"/>
  <c r="L60" i="1"/>
  <c r="P60" i="1"/>
  <c r="Q60" i="1"/>
  <c r="R60" i="1" s="1"/>
  <c r="S60" i="1" s="1"/>
  <c r="J61" i="1"/>
  <c r="R61" i="1" s="1"/>
  <c r="K61" i="1"/>
  <c r="L61" i="1"/>
  <c r="P61" i="1"/>
  <c r="Q61" i="1"/>
  <c r="J62" i="1"/>
  <c r="K62" i="1"/>
  <c r="L62" i="1"/>
  <c r="P62" i="1"/>
  <c r="Q62" i="1"/>
  <c r="R62" i="1" s="1"/>
  <c r="J63" i="1"/>
  <c r="K63" i="1"/>
  <c r="L63" i="1"/>
  <c r="P63" i="1"/>
  <c r="Q63" i="1"/>
  <c r="R63" i="1" s="1"/>
  <c r="J64" i="1"/>
  <c r="K64" i="1"/>
  <c r="L64" i="1"/>
  <c r="P64" i="1"/>
  <c r="Q64" i="1"/>
  <c r="J65" i="1"/>
  <c r="R65" i="1" s="1"/>
  <c r="K65" i="1"/>
  <c r="L65" i="1"/>
  <c r="P65" i="1"/>
  <c r="Q65" i="1"/>
  <c r="J66" i="1"/>
  <c r="R66" i="1" s="1"/>
  <c r="K66" i="1"/>
  <c r="L66" i="1"/>
  <c r="P66" i="1"/>
  <c r="Q66" i="1"/>
  <c r="J67" i="1"/>
  <c r="K67" i="1"/>
  <c r="L67" i="1"/>
  <c r="P67" i="1"/>
  <c r="Q67" i="1"/>
  <c r="R67" i="1" s="1"/>
  <c r="J68" i="1"/>
  <c r="R68" i="1" s="1"/>
  <c r="K68" i="1"/>
  <c r="L68" i="1"/>
  <c r="P68" i="1"/>
  <c r="Q68" i="1"/>
  <c r="J69" i="1"/>
  <c r="K69" i="1"/>
  <c r="L69" i="1"/>
  <c r="P69" i="1"/>
  <c r="Q69" i="1"/>
  <c r="R69" i="1" s="1"/>
  <c r="J70" i="1"/>
  <c r="K70" i="1"/>
  <c r="L70" i="1"/>
  <c r="P70" i="1"/>
  <c r="Q70" i="1"/>
  <c r="R70" i="1"/>
  <c r="J3" i="1"/>
  <c r="K3" i="1"/>
  <c r="L3" i="1"/>
  <c r="P3" i="1"/>
  <c r="Q3" i="1"/>
  <c r="J4" i="1"/>
  <c r="R4" i="1" s="1"/>
  <c r="K4" i="1"/>
  <c r="L4" i="1"/>
  <c r="P4" i="1"/>
  <c r="Q4" i="1"/>
  <c r="J5" i="1"/>
  <c r="K5" i="1"/>
  <c r="L5" i="1"/>
  <c r="P5" i="1"/>
  <c r="Q5" i="1"/>
  <c r="R5" i="1" s="1"/>
  <c r="J6" i="1"/>
  <c r="K6" i="1"/>
  <c r="L6" i="1"/>
  <c r="P6" i="1"/>
  <c r="Q6" i="1"/>
  <c r="J7" i="1"/>
  <c r="K7" i="1"/>
  <c r="L7" i="1"/>
  <c r="P7" i="1"/>
  <c r="Q7" i="1"/>
  <c r="J8" i="1"/>
  <c r="K8" i="1"/>
  <c r="L8" i="1"/>
  <c r="P8" i="1"/>
  <c r="Q8" i="1"/>
  <c r="R8" i="1" s="1"/>
  <c r="J9" i="1"/>
  <c r="K9" i="1"/>
  <c r="L9" i="1"/>
  <c r="P9" i="1"/>
  <c r="Q9" i="1"/>
  <c r="J10" i="1"/>
  <c r="K10" i="1"/>
  <c r="L10" i="1"/>
  <c r="P10" i="1"/>
  <c r="Q10" i="1"/>
  <c r="J11" i="1"/>
  <c r="K11" i="1"/>
  <c r="L11" i="1"/>
  <c r="P11" i="1"/>
  <c r="Q11" i="1"/>
  <c r="R11" i="1" s="1"/>
  <c r="S11" i="1" s="1"/>
  <c r="J12" i="1"/>
  <c r="K12" i="1"/>
  <c r="L12" i="1"/>
  <c r="P12" i="1"/>
  <c r="Q12" i="1"/>
  <c r="J13" i="1"/>
  <c r="K13" i="1"/>
  <c r="L13" i="1"/>
  <c r="P13" i="1"/>
  <c r="Q13" i="1"/>
  <c r="J14" i="1"/>
  <c r="K14" i="1"/>
  <c r="L14" i="1"/>
  <c r="P14" i="1"/>
  <c r="Q14" i="1"/>
  <c r="R14" i="1"/>
  <c r="S14" i="1"/>
  <c r="J15" i="1"/>
  <c r="K15" i="1"/>
  <c r="L15" i="1"/>
  <c r="P15" i="1"/>
  <c r="Q15" i="1"/>
  <c r="J16" i="1"/>
  <c r="R16" i="1" s="1"/>
  <c r="K16" i="1"/>
  <c r="L16" i="1"/>
  <c r="P16" i="1"/>
  <c r="Q16" i="1"/>
  <c r="J17" i="1"/>
  <c r="K17" i="1"/>
  <c r="L17" i="1"/>
  <c r="P17" i="1"/>
  <c r="Q17" i="1"/>
  <c r="R17" i="1" s="1"/>
  <c r="J18" i="1"/>
  <c r="R18" i="1" s="1"/>
  <c r="K18" i="1"/>
  <c r="L18" i="1"/>
  <c r="P18" i="1"/>
  <c r="Q18" i="1"/>
  <c r="J19" i="1"/>
  <c r="K19" i="1"/>
  <c r="L19" i="1"/>
  <c r="P19" i="1"/>
  <c r="Q19" i="1"/>
  <c r="R19" i="1" s="1"/>
  <c r="J20" i="1"/>
  <c r="K20" i="1"/>
  <c r="L20" i="1"/>
  <c r="P20" i="1"/>
  <c r="Q20" i="1"/>
  <c r="J21" i="1"/>
  <c r="R21" i="1" s="1"/>
  <c r="K21" i="1"/>
  <c r="L21" i="1"/>
  <c r="P21" i="1"/>
  <c r="Q21" i="1"/>
  <c r="J22" i="1"/>
  <c r="K22" i="1"/>
  <c r="L22" i="1"/>
  <c r="P22" i="1"/>
  <c r="Q22" i="1"/>
  <c r="J23" i="1"/>
  <c r="K23" i="1"/>
  <c r="L23" i="1"/>
  <c r="P23" i="1"/>
  <c r="Q23" i="1"/>
  <c r="J24" i="1"/>
  <c r="R24" i="1" s="1"/>
  <c r="K24" i="1"/>
  <c r="L24" i="1"/>
  <c r="P24" i="1"/>
  <c r="Q24" i="1"/>
  <c r="J25" i="1"/>
  <c r="K25" i="1"/>
  <c r="L25" i="1"/>
  <c r="P25" i="1"/>
  <c r="Q25" i="1"/>
  <c r="J26" i="1"/>
  <c r="K26" i="1"/>
  <c r="L26" i="1"/>
  <c r="P26" i="1"/>
  <c r="Q26" i="1"/>
  <c r="R26" i="1"/>
  <c r="S26" i="1" s="1"/>
  <c r="J27" i="1"/>
  <c r="K27" i="1"/>
  <c r="L27" i="1"/>
  <c r="P27" i="1"/>
  <c r="Q27" i="1"/>
  <c r="J28" i="1"/>
  <c r="K28" i="1"/>
  <c r="L28" i="1"/>
  <c r="P28" i="1"/>
  <c r="Q28" i="1"/>
  <c r="R28" i="1" s="1"/>
  <c r="J29" i="1"/>
  <c r="K29" i="1"/>
  <c r="L29" i="1"/>
  <c r="P29" i="1"/>
  <c r="Q29" i="1"/>
  <c r="J30" i="1"/>
  <c r="R30" i="1" s="1"/>
  <c r="S30" i="1" s="1"/>
  <c r="K30" i="1"/>
  <c r="L30" i="1"/>
  <c r="P30" i="1"/>
  <c r="Q30" i="1"/>
  <c r="J31" i="1"/>
  <c r="K31" i="1"/>
  <c r="L31" i="1"/>
  <c r="P31" i="1"/>
  <c r="Q31" i="1"/>
  <c r="J32" i="1"/>
  <c r="K32" i="1"/>
  <c r="L32" i="1"/>
  <c r="P32" i="1"/>
  <c r="Q32" i="1"/>
  <c r="J33" i="1"/>
  <c r="K33" i="1"/>
  <c r="L33" i="1"/>
  <c r="P33" i="1"/>
  <c r="Q33" i="1"/>
  <c r="J34" i="1"/>
  <c r="R34" i="1" s="1"/>
  <c r="K34" i="1"/>
  <c r="L34" i="1"/>
  <c r="P34" i="1"/>
  <c r="Q34" i="1"/>
  <c r="J35" i="1"/>
  <c r="K35" i="1"/>
  <c r="L35" i="1"/>
  <c r="P35" i="1"/>
  <c r="Q35" i="1"/>
  <c r="R35" i="1"/>
  <c r="J36" i="1"/>
  <c r="R36" i="1" s="1"/>
  <c r="K36" i="1"/>
  <c r="L36" i="1"/>
  <c r="P36" i="1"/>
  <c r="Q36" i="1"/>
  <c r="J37" i="1"/>
  <c r="R37" i="1" s="1"/>
  <c r="K37" i="1"/>
  <c r="L37" i="1"/>
  <c r="P37" i="1"/>
  <c r="Q37" i="1"/>
  <c r="J38" i="1"/>
  <c r="K38" i="1"/>
  <c r="L38" i="1"/>
  <c r="P38" i="1"/>
  <c r="Q38" i="1"/>
  <c r="R38" i="1" s="1"/>
  <c r="S38" i="1" s="1"/>
  <c r="J39" i="1"/>
  <c r="R39" i="1" s="1"/>
  <c r="K39" i="1"/>
  <c r="L39" i="1"/>
  <c r="P39" i="1"/>
  <c r="Q39" i="1"/>
  <c r="J40" i="1"/>
  <c r="R40" i="1" s="1"/>
  <c r="K40" i="1"/>
  <c r="L40" i="1"/>
  <c r="P40" i="1"/>
  <c r="Q40" i="1"/>
  <c r="J41" i="1"/>
  <c r="K41" i="1"/>
  <c r="L41" i="1"/>
  <c r="P41" i="1"/>
  <c r="Q41" i="1"/>
  <c r="R41" i="1" s="1"/>
  <c r="S41" i="1" s="1"/>
  <c r="J42" i="1"/>
  <c r="R42" i="1" s="1"/>
  <c r="S42" i="1" s="1"/>
  <c r="K42" i="1"/>
  <c r="L42" i="1"/>
  <c r="P42" i="1"/>
  <c r="Q42" i="1"/>
  <c r="J43" i="1"/>
  <c r="K43" i="1"/>
  <c r="L43" i="1"/>
  <c r="P43" i="1"/>
  <c r="Q43" i="1"/>
  <c r="J44" i="1"/>
  <c r="K44" i="1"/>
  <c r="L44" i="1"/>
  <c r="P44" i="1"/>
  <c r="Q44" i="1"/>
  <c r="R44" i="1"/>
  <c r="J45" i="1"/>
  <c r="R45" i="1" s="1"/>
  <c r="K45" i="1"/>
  <c r="L45" i="1"/>
  <c r="P45" i="1"/>
  <c r="Q45" i="1"/>
  <c r="Q2" i="1"/>
  <c r="R2" i="1" s="1"/>
  <c r="P2" i="1"/>
  <c r="L2" i="1"/>
  <c r="K2" i="1"/>
  <c r="J2" i="1"/>
  <c r="R12" i="1" l="1"/>
  <c r="S12" i="1" s="1"/>
  <c r="S79" i="1"/>
  <c r="R3" i="1"/>
  <c r="S46" i="1"/>
  <c r="R6" i="1"/>
  <c r="R33" i="1"/>
  <c r="S99" i="1"/>
  <c r="R27" i="1"/>
  <c r="R15" i="1"/>
  <c r="R13" i="1"/>
  <c r="S54" i="1"/>
  <c r="R51" i="1"/>
  <c r="S51" i="1" s="1"/>
  <c r="R96" i="1"/>
  <c r="S96" i="1" s="1"/>
  <c r="S21" i="1"/>
  <c r="R73" i="1"/>
  <c r="S73" i="1" s="1"/>
  <c r="R78" i="1"/>
  <c r="S44" i="1"/>
  <c r="S56" i="1"/>
  <c r="S70" i="1"/>
  <c r="S65" i="1"/>
  <c r="S62" i="1"/>
  <c r="R32" i="1"/>
  <c r="S47" i="1"/>
  <c r="R97" i="1"/>
  <c r="S97" i="1" s="1"/>
  <c r="R43" i="1"/>
  <c r="R89" i="1"/>
  <c r="S89" i="1" s="1"/>
  <c r="S83" i="1"/>
  <c r="R23" i="1"/>
  <c r="R20" i="1"/>
  <c r="S20" i="1" s="1"/>
  <c r="R64" i="1"/>
  <c r="S64" i="1" s="1"/>
  <c r="S58" i="1"/>
  <c r="R50" i="1"/>
  <c r="S50" i="1" s="1"/>
  <c r="S72" i="1"/>
  <c r="S35" i="1"/>
  <c r="S92" i="1"/>
  <c r="R75" i="1"/>
  <c r="S75" i="1" s="1"/>
  <c r="R100" i="1"/>
  <c r="S86" i="1"/>
  <c r="R31" i="1"/>
  <c r="S31" i="1" s="1"/>
  <c r="R29" i="1"/>
  <c r="S29" i="1" s="1"/>
  <c r="R55" i="1"/>
  <c r="S37" i="1"/>
  <c r="R25" i="1"/>
  <c r="S25" i="1" s="1"/>
  <c r="R22" i="1"/>
  <c r="S22" i="1" s="1"/>
  <c r="R80" i="1"/>
  <c r="S80" i="1" s="1"/>
  <c r="S28" i="1"/>
  <c r="S69" i="1"/>
  <c r="S19" i="1"/>
  <c r="S63" i="1"/>
  <c r="S49" i="1"/>
  <c r="R10" i="1"/>
  <c r="S10" i="1" s="1"/>
  <c r="R9" i="1"/>
  <c r="S9" i="1" s="1"/>
  <c r="R7" i="1"/>
  <c r="S7" i="1" s="1"/>
  <c r="S5" i="1"/>
  <c r="S3" i="1"/>
  <c r="S98" i="1"/>
  <c r="S100" i="1"/>
  <c r="S6" i="1"/>
  <c r="S55" i="1"/>
  <c r="S74" i="1"/>
  <c r="S17" i="1"/>
  <c r="S8" i="1"/>
  <c r="S43" i="1"/>
  <c r="S40" i="1"/>
  <c r="S48" i="1"/>
  <c r="S61" i="1"/>
  <c r="S4" i="1"/>
  <c r="S68" i="1"/>
  <c r="S77" i="1"/>
  <c r="S33" i="1"/>
  <c r="S84" i="1"/>
  <c r="S59" i="1"/>
  <c r="S67" i="1"/>
  <c r="S27" i="1"/>
  <c r="S24" i="1"/>
  <c r="S71" i="1"/>
  <c r="S18" i="1"/>
  <c r="S81" i="1"/>
  <c r="S87" i="1"/>
  <c r="S93" i="1"/>
  <c r="S85" i="1"/>
  <c r="S32" i="1"/>
  <c r="S23" i="1"/>
  <c r="S66" i="1"/>
  <c r="S34" i="1"/>
  <c r="S78" i="1"/>
  <c r="S45" i="1"/>
  <c r="S39" i="1"/>
  <c r="S57" i="1"/>
  <c r="S94" i="1"/>
  <c r="S36" i="1"/>
  <c r="S16" i="1"/>
  <c r="S15" i="1"/>
  <c r="S13" i="1"/>
  <c r="S91" i="1"/>
  <c r="S90" i="1"/>
  <c r="S82" i="1"/>
  <c r="S76" i="1"/>
  <c r="S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R</author>
  </authors>
  <commentList>
    <comment ref="D2" authorId="0" shapeId="0" xr:uid="{B0D0C310-04E4-4B27-B990-CB28BEB702CA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3" authorId="0" shapeId="0" xr:uid="{96DB6D9E-DBDB-47DC-B718-B4442D0C63DC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4" authorId="0" shapeId="0" xr:uid="{1503135B-B702-4F68-80FD-4DB8307F56D7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  <comment ref="D5" authorId="0" shapeId="0" xr:uid="{F650BF4B-FC3C-4593-B599-C76922311F1A}">
      <text>
        <r>
          <rPr>
            <b/>
            <sz val="9"/>
            <color indexed="81"/>
            <rFont val="Tahoma"/>
            <family val="2"/>
          </rPr>
          <t>Manuel R:</t>
        </r>
        <r>
          <rPr>
            <sz val="9"/>
            <color indexed="81"/>
            <rFont val="Tahoma"/>
            <family val="2"/>
          </rPr>
          <t xml:space="preserve">
This value is incorrect because they come from the Tradingview VIX chart, not IBKR's order panel</t>
        </r>
      </text>
    </comment>
  </commentList>
</comments>
</file>

<file path=xl/sharedStrings.xml><?xml version="1.0" encoding="utf-8"?>
<sst xmlns="http://schemas.openxmlformats.org/spreadsheetml/2006/main" count="53" uniqueCount="34">
  <si>
    <t>Tranche ID</t>
  </si>
  <si>
    <t>Open Date</t>
  </si>
  <si>
    <t>Ticker</t>
  </si>
  <si>
    <t>VIX at Entry</t>
  </si>
  <si>
    <t>DTE at Entry</t>
  </si>
  <si>
    <t>Short Strike</t>
  </si>
  <si>
    <t>Long Strike</t>
  </si>
  <si>
    <t>Premium Collected (USD)</t>
  </si>
  <si>
    <t>Collateral Locked (USD)</t>
  </si>
  <si>
    <t>Total Net Credit (USD)</t>
  </si>
  <si>
    <t>Target 50% Exit Price (USD)</t>
  </si>
  <si>
    <t>Close Date</t>
  </si>
  <si>
    <t>Closing Price (USD)</t>
  </si>
  <si>
    <t>Days in Trade</t>
  </si>
  <si>
    <t>Total P&amp;L (USD)</t>
  </si>
  <si>
    <t>Return on Capital (ROC) %</t>
  </si>
  <si>
    <t>Annualized ROC %</t>
  </si>
  <si>
    <t>Notes / Adjustments</t>
  </si>
  <si>
    <t>XSP</t>
  </si>
  <si>
    <t>Silo A: Acct 23144948</t>
  </si>
  <si>
    <t>Silo C: Acct 23154199</t>
  </si>
  <si>
    <t>Silo C: 1</t>
  </si>
  <si>
    <t>Silo A: 1</t>
  </si>
  <si>
    <t>Silo A: 2</t>
  </si>
  <si>
    <t>Silo A: 3</t>
  </si>
  <si>
    <t>Silo C: 2</t>
  </si>
  <si>
    <t>Silo A: 4</t>
  </si>
  <si>
    <t>Silo C:3</t>
  </si>
  <si>
    <t>Qty</t>
  </si>
  <si>
    <t>Silo A: 5</t>
  </si>
  <si>
    <t>Silo C: 4</t>
  </si>
  <si>
    <t>Days Remaining</t>
  </si>
  <si>
    <t>Silo A: 6</t>
  </si>
  <si>
    <t>Silo C: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</si>
</sst>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0" fontId="0" fillId="3" borderId="0" xfId="0" applyNumberFormat="1" applyFill="1"/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4" fontId="5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rgb="FF009644"/>
      </font>
      <fill>
        <patternFill>
          <bgColor theme="6" tint="0.59996337778862885"/>
        </patternFill>
      </fill>
    </dxf>
    <dxf>
      <font>
        <b/>
        <i val="0"/>
        <color rgb="FFC00000"/>
      </font>
      <fill>
        <patternFill>
          <bgColor rgb="FFFFCCCC"/>
        </patternFill>
      </fill>
    </dxf>
  </dxfs>
  <tableStyles count="0" defaultTableStyle="TableStyleMedium9" defaultPivotStyle="PivotStyleLight16"/>
  <colors>
    <mruColors>
      <color rgb="FFFFCCCC"/>
      <color rgb="FF0096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"/>
  <sheetViews>
    <sheetView tabSelected="1" zoomScale="145" zoomScaleNormal="145" workbookViewId="0">
      <pane ySplit="1" topLeftCell="A2" activePane="bottomLeft" state="frozen"/>
      <selection pane="bottomLeft" activeCell="AC10" sqref="AC10"/>
    </sheetView>
  </sheetViews>
  <sheetFormatPr defaultRowHeight="15" x14ac:dyDescent="0.25"/>
  <cols>
    <col min="1" max="1" width="9.140625" style="4" customWidth="1"/>
    <col min="2" max="2" width="10.42578125" style="5" bestFit="1" customWidth="1"/>
    <col min="3" max="3" width="6.28515625" style="4" bestFit="1" customWidth="1"/>
    <col min="4" max="4" width="6.140625" style="6" bestFit="1" customWidth="1"/>
    <col min="5" max="5" width="6.5703125" style="4" bestFit="1" customWidth="1"/>
    <col min="6" max="7" width="6.140625" style="4" bestFit="1" customWidth="1"/>
    <col min="8" max="8" width="4.5703125" style="4" customWidth="1"/>
    <col min="9" max="9" width="11" style="4" customWidth="1"/>
    <col min="10" max="10" width="9.28515625" style="4" bestFit="1" customWidth="1"/>
    <col min="11" max="11" width="9.140625" style="4" bestFit="1" customWidth="1"/>
    <col min="12" max="12" width="10.5703125" style="4" customWidth="1"/>
    <col min="13" max="13" width="10.42578125" style="5" bestFit="1" customWidth="1"/>
    <col min="14" max="14" width="10.42578125" style="4" customWidth="1"/>
    <col min="15" max="15" width="7.7109375" style="4" customWidth="1"/>
    <col min="16" max="16" width="6.85546875" style="4" customWidth="1"/>
    <col min="17" max="17" width="8.28515625" style="4" bestFit="1" customWidth="1"/>
    <col min="18" max="18" width="10.140625" customWidth="1"/>
    <col min="19" max="19" width="12" customWidth="1"/>
    <col min="20" max="20" width="19.5703125" bestFit="1" customWidth="1"/>
  </cols>
  <sheetData>
    <row r="1" spans="1:20" ht="54" customHeight="1" x14ac:dyDescent="0.25">
      <c r="A1" s="1" t="s">
        <v>0</v>
      </c>
      <c r="B1" s="3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28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31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5">
      <c r="A2" s="4" t="s">
        <v>22</v>
      </c>
      <c r="B2" s="5">
        <v>46107</v>
      </c>
      <c r="C2" s="4" t="s">
        <v>18</v>
      </c>
      <c r="D2" s="6">
        <v>28.01</v>
      </c>
      <c r="E2" s="4">
        <v>50</v>
      </c>
      <c r="F2" s="4">
        <v>600</v>
      </c>
      <c r="G2" s="4">
        <v>575</v>
      </c>
      <c r="H2" s="4">
        <v>1</v>
      </c>
      <c r="I2" s="6">
        <v>3.04</v>
      </c>
      <c r="J2" s="7">
        <f t="shared" ref="J2" si="0">IF(OR(ISBLANK(F2),ISBLANK(G2),ISBLANK(H2)),"",(F2-G2)*100*H2)</f>
        <v>2500</v>
      </c>
      <c r="K2" s="7">
        <f t="shared" ref="K2" si="1">IF(OR(ISBLANK(I2),ISBLANK(H2)),"",I2*100*H2)</f>
        <v>304</v>
      </c>
      <c r="L2" s="7">
        <f t="shared" ref="L2" si="2">IF(ISBLANK(I2),"",I2/2)</f>
        <v>1.52</v>
      </c>
      <c r="M2" s="5">
        <v>46120</v>
      </c>
      <c r="N2" s="4" t="str">
        <f ca="1">IF(ISBLANK(B2), "", IF(ISBLANK(M2), E2 - (TODAY() - B2), "Closed"))</f>
        <v>Closed</v>
      </c>
      <c r="O2" s="6">
        <v>0.84599999999999997</v>
      </c>
      <c r="P2" s="8">
        <f t="shared" ref="P2" si="3">IF(OR(ISBLANK(M2),ISBLANK(B2)),"",M2-B2)</f>
        <v>13</v>
      </c>
      <c r="Q2" s="7">
        <f t="shared" ref="Q2" si="4">IF(OR(ISBLANK(O2),ISBLANK(I2),ISBLANK(H2)),"",(I2-O2)*100*H2)</f>
        <v>219.4</v>
      </c>
      <c r="R2" s="2">
        <f t="shared" ref="R2" si="5">IF(OR(ISBLANK(Q2),ISBLANK(J2),J2=0),"",Q2/J2)</f>
        <v>8.7760000000000005E-2</v>
      </c>
      <c r="S2" s="2">
        <f t="shared" ref="S2" si="6">IF(OR(ISBLANK(R2),ISBLANK(P2),P2=0),"",R2*(365/P2))</f>
        <v>2.4640307692307695</v>
      </c>
      <c r="T2" t="s">
        <v>19</v>
      </c>
    </row>
    <row r="3" spans="1:20" x14ac:dyDescent="0.25">
      <c r="A3" s="4" t="s">
        <v>23</v>
      </c>
      <c r="B3" s="5">
        <v>46107</v>
      </c>
      <c r="C3" s="4" t="s">
        <v>18</v>
      </c>
      <c r="D3" s="6">
        <v>28.18</v>
      </c>
      <c r="E3" s="4">
        <v>50</v>
      </c>
      <c r="F3" s="4">
        <v>600</v>
      </c>
      <c r="G3" s="4">
        <v>575</v>
      </c>
      <c r="H3" s="4">
        <v>24</v>
      </c>
      <c r="I3" s="6">
        <v>3.12</v>
      </c>
      <c r="J3" s="7">
        <f t="shared" ref="J3:J46" si="7">IF(OR(ISBLANK(F3),ISBLANK(G3),ISBLANK(H3)),"",(F3-G3)*100*H3)</f>
        <v>60000</v>
      </c>
      <c r="K3" s="7">
        <f t="shared" ref="K3:K46" si="8">IF(OR(ISBLANK(I3),ISBLANK(H3)),"",I3*100*H3)</f>
        <v>7488</v>
      </c>
      <c r="L3" s="7">
        <f t="shared" ref="L3:L46" si="9">IF(ISBLANK(I3),"",I3/2)</f>
        <v>1.56</v>
      </c>
      <c r="M3" s="5">
        <v>46120</v>
      </c>
      <c r="N3" s="4" t="str">
        <f t="shared" ref="N3:N66" ca="1" si="10">IF(ISBLANK(B3), "", IF(ISBLANK(M3), E3 - (TODAY() - B3), "Closed"))</f>
        <v>Closed</v>
      </c>
      <c r="O3" s="6">
        <v>0.84599999999999997</v>
      </c>
      <c r="P3" s="8">
        <f t="shared" ref="P3:P46" si="11">IF(OR(ISBLANK(M3),ISBLANK(B3)),"",M3-B3)</f>
        <v>13</v>
      </c>
      <c r="Q3" s="7">
        <f t="shared" ref="Q3:Q46" si="12">IF(OR(ISBLANK(O3),ISBLANK(I3),ISBLANK(H3)),"",(I3-O3)*100*H3)</f>
        <v>5457.6</v>
      </c>
      <c r="R3" s="2">
        <f t="shared" ref="R3:R46" si="13">IF(OR(ISBLANK(Q3),ISBLANK(J3),J3=0),"",Q3/J3)</f>
        <v>9.0959999999999999E-2</v>
      </c>
      <c r="S3" s="2">
        <f t="shared" ref="S3:S46" si="14">IF(OR(ISBLANK(R3),ISBLANK(P3),P3=0),"",R3*(365/P3))</f>
        <v>2.5538769230769232</v>
      </c>
      <c r="T3" t="s">
        <v>19</v>
      </c>
    </row>
    <row r="4" spans="1:20" x14ac:dyDescent="0.25">
      <c r="A4" s="4" t="s">
        <v>21</v>
      </c>
      <c r="B4" s="5">
        <v>46113</v>
      </c>
      <c r="C4" s="4" t="s">
        <v>18</v>
      </c>
      <c r="D4" s="6">
        <v>19.3</v>
      </c>
      <c r="E4" s="4">
        <v>44</v>
      </c>
      <c r="F4" s="4">
        <v>615</v>
      </c>
      <c r="G4" s="4">
        <v>590</v>
      </c>
      <c r="H4" s="4">
        <v>14</v>
      </c>
      <c r="I4" s="6">
        <v>2.67</v>
      </c>
      <c r="J4" s="7">
        <f t="shared" si="7"/>
        <v>35000</v>
      </c>
      <c r="K4" s="7">
        <f t="shared" si="8"/>
        <v>3738</v>
      </c>
      <c r="L4" s="7">
        <f t="shared" si="9"/>
        <v>1.335</v>
      </c>
      <c r="M4" s="5">
        <v>46120</v>
      </c>
      <c r="N4" s="4" t="str">
        <f t="shared" ca="1" si="10"/>
        <v>Closed</v>
      </c>
      <c r="O4" s="6">
        <v>1.42</v>
      </c>
      <c r="P4" s="8">
        <f t="shared" si="11"/>
        <v>7</v>
      </c>
      <c r="Q4" s="7">
        <f t="shared" si="12"/>
        <v>1750</v>
      </c>
      <c r="R4" s="2">
        <f t="shared" si="13"/>
        <v>0.05</v>
      </c>
      <c r="S4" s="2">
        <f t="shared" si="14"/>
        <v>2.6071428571428577</v>
      </c>
      <c r="T4" t="s">
        <v>20</v>
      </c>
    </row>
    <row r="5" spans="1:20" x14ac:dyDescent="0.25">
      <c r="A5" s="4" t="s">
        <v>24</v>
      </c>
      <c r="B5" s="5">
        <v>46119</v>
      </c>
      <c r="C5" s="4" t="s">
        <v>18</v>
      </c>
      <c r="D5" s="6">
        <v>26.69</v>
      </c>
      <c r="E5" s="4">
        <v>38</v>
      </c>
      <c r="F5" s="4">
        <v>615</v>
      </c>
      <c r="G5" s="4">
        <v>590</v>
      </c>
      <c r="H5" s="4">
        <v>25</v>
      </c>
      <c r="I5" s="6">
        <v>2.95</v>
      </c>
      <c r="J5" s="7">
        <f t="shared" si="7"/>
        <v>62500</v>
      </c>
      <c r="K5" s="7">
        <f t="shared" si="8"/>
        <v>7375</v>
      </c>
      <c r="L5" s="7">
        <f t="shared" si="9"/>
        <v>1.4750000000000001</v>
      </c>
      <c r="M5" s="5">
        <v>46120</v>
      </c>
      <c r="N5" s="4" t="str">
        <f t="shared" ca="1" si="10"/>
        <v>Closed</v>
      </c>
      <c r="O5" s="6">
        <v>1.42</v>
      </c>
      <c r="P5" s="8">
        <f t="shared" si="11"/>
        <v>1</v>
      </c>
      <c r="Q5" s="7">
        <f t="shared" si="12"/>
        <v>3825.0000000000009</v>
      </c>
      <c r="R5" s="2">
        <f t="shared" si="13"/>
        <v>6.1200000000000011E-2</v>
      </c>
      <c r="S5" s="2">
        <f t="shared" si="14"/>
        <v>22.338000000000005</v>
      </c>
      <c r="T5" t="s">
        <v>19</v>
      </c>
    </row>
    <row r="6" spans="1:20" x14ac:dyDescent="0.25">
      <c r="A6" s="4" t="s">
        <v>25</v>
      </c>
      <c r="B6" s="5">
        <v>46119</v>
      </c>
      <c r="C6" s="4" t="s">
        <v>18</v>
      </c>
      <c r="D6" s="6">
        <v>26.65</v>
      </c>
      <c r="E6" s="4">
        <v>38</v>
      </c>
      <c r="F6" s="4">
        <v>615</v>
      </c>
      <c r="G6" s="4">
        <v>590</v>
      </c>
      <c r="H6" s="4">
        <v>14</v>
      </c>
      <c r="I6" s="6">
        <v>3.08</v>
      </c>
      <c r="J6" s="7">
        <f t="shared" si="7"/>
        <v>35000</v>
      </c>
      <c r="K6" s="7">
        <f t="shared" si="8"/>
        <v>4312</v>
      </c>
      <c r="L6" s="7">
        <f t="shared" si="9"/>
        <v>1.54</v>
      </c>
      <c r="M6" s="5">
        <v>46120</v>
      </c>
      <c r="N6" s="4" t="str">
        <f t="shared" ca="1" si="10"/>
        <v>Closed</v>
      </c>
      <c r="O6" s="6">
        <v>1.42</v>
      </c>
      <c r="P6" s="8">
        <f t="shared" si="11"/>
        <v>1</v>
      </c>
      <c r="Q6" s="7">
        <f t="shared" si="12"/>
        <v>2324</v>
      </c>
      <c r="R6" s="2">
        <f t="shared" si="13"/>
        <v>6.6400000000000001E-2</v>
      </c>
      <c r="S6" s="2">
        <f t="shared" si="14"/>
        <v>24.236000000000001</v>
      </c>
      <c r="T6" t="s">
        <v>20</v>
      </c>
    </row>
    <row r="7" spans="1:20" x14ac:dyDescent="0.25">
      <c r="A7" s="4" t="s">
        <v>26</v>
      </c>
      <c r="B7" s="5">
        <v>46125</v>
      </c>
      <c r="C7" s="4" t="s">
        <v>18</v>
      </c>
      <c r="D7" s="6">
        <v>19.82</v>
      </c>
      <c r="E7" s="4">
        <v>46</v>
      </c>
      <c r="F7" s="4">
        <v>644</v>
      </c>
      <c r="G7" s="4">
        <v>619</v>
      </c>
      <c r="H7" s="4">
        <v>15</v>
      </c>
      <c r="I7" s="6">
        <v>2.5299999999999998</v>
      </c>
      <c r="J7" s="7">
        <f t="shared" si="7"/>
        <v>37500</v>
      </c>
      <c r="K7" s="7">
        <f t="shared" si="8"/>
        <v>3794.9999999999995</v>
      </c>
      <c r="L7" s="7">
        <f t="shared" si="9"/>
        <v>1.2649999999999999</v>
      </c>
      <c r="M7" s="5">
        <v>46128</v>
      </c>
      <c r="N7" s="4" t="str">
        <f t="shared" ca="1" si="10"/>
        <v>Closed</v>
      </c>
      <c r="O7" s="6">
        <v>1.26</v>
      </c>
      <c r="P7" s="8">
        <f t="shared" si="11"/>
        <v>3</v>
      </c>
      <c r="Q7" s="7">
        <f t="shared" si="12"/>
        <v>1904.9999999999998</v>
      </c>
      <c r="R7" s="2">
        <f t="shared" si="13"/>
        <v>5.0799999999999991E-2</v>
      </c>
      <c r="S7" s="2">
        <f t="shared" si="14"/>
        <v>6.1806666666666654</v>
      </c>
      <c r="T7" t="s">
        <v>19</v>
      </c>
    </row>
    <row r="8" spans="1:20" x14ac:dyDescent="0.25">
      <c r="A8" s="4" t="s">
        <v>27</v>
      </c>
      <c r="B8" s="5">
        <v>46125</v>
      </c>
      <c r="C8" s="4" t="s">
        <v>18</v>
      </c>
      <c r="D8" s="6">
        <v>19.82</v>
      </c>
      <c r="E8" s="4">
        <v>46</v>
      </c>
      <c r="F8" s="4">
        <v>644</v>
      </c>
      <c r="G8" s="4">
        <v>619</v>
      </c>
      <c r="H8" s="4">
        <v>7</v>
      </c>
      <c r="I8" s="6">
        <v>2.58</v>
      </c>
      <c r="J8" s="7">
        <f t="shared" si="7"/>
        <v>17500</v>
      </c>
      <c r="K8" s="7">
        <f t="shared" si="8"/>
        <v>1806</v>
      </c>
      <c r="L8" s="7">
        <f t="shared" si="9"/>
        <v>1.29</v>
      </c>
      <c r="M8" s="5">
        <v>46128</v>
      </c>
      <c r="N8" s="4" t="str">
        <f t="shared" ca="1" si="10"/>
        <v>Closed</v>
      </c>
      <c r="O8" s="6">
        <v>1.29</v>
      </c>
      <c r="P8" s="8">
        <f t="shared" si="11"/>
        <v>3</v>
      </c>
      <c r="Q8" s="7">
        <f t="shared" si="12"/>
        <v>903</v>
      </c>
      <c r="R8" s="2">
        <f t="shared" si="13"/>
        <v>5.16E-2</v>
      </c>
      <c r="S8" s="2">
        <f t="shared" si="14"/>
        <v>6.2780000000000005</v>
      </c>
      <c r="T8" t="s">
        <v>20</v>
      </c>
    </row>
    <row r="9" spans="1:20" x14ac:dyDescent="0.25">
      <c r="A9" s="4" t="s">
        <v>29</v>
      </c>
      <c r="B9" s="5">
        <v>46129</v>
      </c>
      <c r="C9" s="4" t="s">
        <v>18</v>
      </c>
      <c r="D9" s="6">
        <v>17.399999999999999</v>
      </c>
      <c r="E9" s="4">
        <v>49</v>
      </c>
      <c r="F9" s="4">
        <v>679</v>
      </c>
      <c r="G9" s="4">
        <v>654</v>
      </c>
      <c r="H9" s="4">
        <v>15</v>
      </c>
      <c r="I9" s="6">
        <v>2.4300000000000002</v>
      </c>
      <c r="J9" s="7">
        <f t="shared" si="7"/>
        <v>37500</v>
      </c>
      <c r="K9" s="7">
        <f t="shared" si="8"/>
        <v>3645.0000000000005</v>
      </c>
      <c r="L9" s="7">
        <f t="shared" si="9"/>
        <v>1.2150000000000001</v>
      </c>
      <c r="N9" s="4">
        <f t="shared" ca="1" si="10"/>
        <v>41</v>
      </c>
      <c r="O9" s="6"/>
      <c r="P9" s="8" t="str">
        <f t="shared" si="11"/>
        <v/>
      </c>
      <c r="Q9" s="7" t="str">
        <f t="shared" si="12"/>
        <v/>
      </c>
      <c r="R9" s="2" t="e">
        <f t="shared" si="13"/>
        <v>#VALUE!</v>
      </c>
      <c r="S9" s="2" t="e">
        <f t="shared" si="14"/>
        <v>#VALUE!</v>
      </c>
      <c r="T9" t="s">
        <v>19</v>
      </c>
    </row>
    <row r="10" spans="1:20" x14ac:dyDescent="0.25">
      <c r="A10" s="4" t="s">
        <v>30</v>
      </c>
      <c r="B10" s="5">
        <v>46129</v>
      </c>
      <c r="C10" s="4" t="s">
        <v>18</v>
      </c>
      <c r="D10" s="6">
        <v>17.399999999999999</v>
      </c>
      <c r="E10" s="4">
        <v>49</v>
      </c>
      <c r="F10" s="4">
        <v>679</v>
      </c>
      <c r="G10" s="4">
        <v>654</v>
      </c>
      <c r="H10" s="4">
        <v>7</v>
      </c>
      <c r="I10" s="6">
        <v>2.42</v>
      </c>
      <c r="J10" s="7">
        <f t="shared" si="7"/>
        <v>17500</v>
      </c>
      <c r="K10" s="7">
        <f t="shared" si="8"/>
        <v>1694</v>
      </c>
      <c r="L10" s="7">
        <f t="shared" si="9"/>
        <v>1.21</v>
      </c>
      <c r="N10" s="4">
        <f t="shared" ca="1" si="10"/>
        <v>41</v>
      </c>
      <c r="O10" s="6"/>
      <c r="P10" s="8" t="str">
        <f t="shared" si="11"/>
        <v/>
      </c>
      <c r="Q10" s="7" t="str">
        <f t="shared" si="12"/>
        <v/>
      </c>
      <c r="R10" s="2" t="e">
        <f t="shared" si="13"/>
        <v>#VALUE!</v>
      </c>
      <c r="S10" s="2" t="e">
        <f t="shared" si="14"/>
        <v>#VALUE!</v>
      </c>
      <c r="T10" t="s">
        <v>20</v>
      </c>
    </row>
    <row r="11" spans="1:20" x14ac:dyDescent="0.25">
      <c r="A11" s="4" t="s">
        <v>32</v>
      </c>
      <c r="B11" s="5">
        <v>46132</v>
      </c>
      <c r="C11" s="4" t="s">
        <v>18</v>
      </c>
      <c r="D11" s="6">
        <v>19.45</v>
      </c>
      <c r="E11" s="4">
        <v>46</v>
      </c>
      <c r="F11" s="4">
        <v>675</v>
      </c>
      <c r="G11" s="4">
        <v>650</v>
      </c>
      <c r="H11" s="4">
        <v>15</v>
      </c>
      <c r="I11" s="6">
        <v>2.46</v>
      </c>
      <c r="J11" s="7">
        <f t="shared" si="7"/>
        <v>37500</v>
      </c>
      <c r="K11" s="7">
        <f t="shared" si="8"/>
        <v>3690</v>
      </c>
      <c r="L11" s="7">
        <f t="shared" si="9"/>
        <v>1.23</v>
      </c>
      <c r="N11" s="4">
        <f t="shared" ca="1" si="10"/>
        <v>41</v>
      </c>
      <c r="O11" s="6"/>
      <c r="P11" s="8" t="str">
        <f t="shared" si="11"/>
        <v/>
      </c>
      <c r="Q11" s="7" t="str">
        <f t="shared" si="12"/>
        <v/>
      </c>
      <c r="R11" s="2" t="e">
        <f t="shared" si="13"/>
        <v>#VALUE!</v>
      </c>
      <c r="S11" s="2" t="e">
        <f t="shared" si="14"/>
        <v>#VALUE!</v>
      </c>
      <c r="T11" t="s">
        <v>19</v>
      </c>
    </row>
    <row r="12" spans="1:20" x14ac:dyDescent="0.25">
      <c r="A12" s="4" t="s">
        <v>33</v>
      </c>
      <c r="B12" s="5">
        <v>46132</v>
      </c>
      <c r="C12" s="4" t="s">
        <v>18</v>
      </c>
      <c r="D12" s="6">
        <v>19.45</v>
      </c>
      <c r="E12" s="4">
        <v>46</v>
      </c>
      <c r="F12" s="4">
        <v>672</v>
      </c>
      <c r="G12" s="4">
        <v>647</v>
      </c>
      <c r="H12" s="4">
        <v>7</v>
      </c>
      <c r="I12" s="6">
        <v>2.5299999999999998</v>
      </c>
      <c r="J12" s="7">
        <f t="shared" si="7"/>
        <v>17500</v>
      </c>
      <c r="K12" s="7">
        <f t="shared" si="8"/>
        <v>1770.9999999999998</v>
      </c>
      <c r="L12" s="7">
        <f t="shared" si="9"/>
        <v>1.2649999999999999</v>
      </c>
      <c r="N12" s="4">
        <f t="shared" ca="1" si="10"/>
        <v>41</v>
      </c>
      <c r="O12" s="6"/>
      <c r="P12" s="8" t="str">
        <f t="shared" si="11"/>
        <v/>
      </c>
      <c r="Q12" s="7" t="str">
        <f t="shared" si="12"/>
        <v/>
      </c>
      <c r="R12" s="2" t="e">
        <f t="shared" si="13"/>
        <v>#VALUE!</v>
      </c>
      <c r="S12" s="2" t="e">
        <f t="shared" si="14"/>
        <v>#VALUE!</v>
      </c>
      <c r="T12" t="s">
        <v>20</v>
      </c>
    </row>
    <row r="13" spans="1:20" x14ac:dyDescent="0.25">
      <c r="I13" s="6"/>
      <c r="J13" s="7" t="str">
        <f t="shared" si="7"/>
        <v/>
      </c>
      <c r="K13" s="7" t="str">
        <f t="shared" si="8"/>
        <v/>
      </c>
      <c r="L13" s="7" t="str">
        <f t="shared" si="9"/>
        <v/>
      </c>
      <c r="N13" s="4" t="str">
        <f t="shared" ca="1" si="10"/>
        <v/>
      </c>
      <c r="O13" s="6"/>
      <c r="P13" s="8" t="str">
        <f t="shared" si="11"/>
        <v/>
      </c>
      <c r="Q13" s="7" t="str">
        <f t="shared" si="12"/>
        <v/>
      </c>
      <c r="R13" s="2" t="e">
        <f t="shared" si="13"/>
        <v>#VALUE!</v>
      </c>
      <c r="S13" s="2" t="e">
        <f t="shared" si="14"/>
        <v>#VALUE!</v>
      </c>
    </row>
    <row r="14" spans="1:20" x14ac:dyDescent="0.25">
      <c r="I14" s="6"/>
      <c r="J14" s="7" t="str">
        <f t="shared" si="7"/>
        <v/>
      </c>
      <c r="K14" s="7" t="str">
        <f t="shared" si="8"/>
        <v/>
      </c>
      <c r="L14" s="7" t="str">
        <f t="shared" si="9"/>
        <v/>
      </c>
      <c r="N14" s="4" t="str">
        <f t="shared" ca="1" si="10"/>
        <v/>
      </c>
      <c r="O14" s="6"/>
      <c r="P14" s="8" t="str">
        <f t="shared" si="11"/>
        <v/>
      </c>
      <c r="Q14" s="7" t="str">
        <f t="shared" si="12"/>
        <v/>
      </c>
      <c r="R14" s="2" t="e">
        <f t="shared" si="13"/>
        <v>#VALUE!</v>
      </c>
      <c r="S14" s="2" t="e">
        <f t="shared" si="14"/>
        <v>#VALUE!</v>
      </c>
    </row>
    <row r="15" spans="1:20" x14ac:dyDescent="0.25">
      <c r="I15" s="6"/>
      <c r="J15" s="7" t="str">
        <f t="shared" si="7"/>
        <v/>
      </c>
      <c r="K15" s="7" t="str">
        <f t="shared" si="8"/>
        <v/>
      </c>
      <c r="L15" s="7" t="str">
        <f t="shared" si="9"/>
        <v/>
      </c>
      <c r="N15" s="4" t="str">
        <f t="shared" ca="1" si="10"/>
        <v/>
      </c>
      <c r="O15" s="6"/>
      <c r="P15" s="8" t="str">
        <f t="shared" si="11"/>
        <v/>
      </c>
      <c r="Q15" s="7" t="str">
        <f t="shared" si="12"/>
        <v/>
      </c>
      <c r="R15" s="2" t="e">
        <f t="shared" si="13"/>
        <v>#VALUE!</v>
      </c>
      <c r="S15" s="2" t="e">
        <f t="shared" si="14"/>
        <v>#VALUE!</v>
      </c>
    </row>
    <row r="16" spans="1:20" x14ac:dyDescent="0.25">
      <c r="I16" s="6"/>
      <c r="J16" s="7" t="str">
        <f t="shared" si="7"/>
        <v/>
      </c>
      <c r="K16" s="7" t="str">
        <f t="shared" si="8"/>
        <v/>
      </c>
      <c r="L16" s="7" t="str">
        <f t="shared" si="9"/>
        <v/>
      </c>
      <c r="N16" s="4" t="str">
        <f t="shared" ca="1" si="10"/>
        <v/>
      </c>
      <c r="O16" s="6"/>
      <c r="P16" s="8" t="str">
        <f t="shared" si="11"/>
        <v/>
      </c>
      <c r="Q16" s="7" t="str">
        <f t="shared" si="12"/>
        <v/>
      </c>
      <c r="R16" s="2" t="e">
        <f t="shared" si="13"/>
        <v>#VALUE!</v>
      </c>
      <c r="S16" s="2" t="e">
        <f t="shared" si="14"/>
        <v>#VALUE!</v>
      </c>
    </row>
    <row r="17" spans="9:19" x14ac:dyDescent="0.25">
      <c r="I17" s="6"/>
      <c r="J17" s="7" t="str">
        <f t="shared" si="7"/>
        <v/>
      </c>
      <c r="K17" s="7" t="str">
        <f t="shared" si="8"/>
        <v/>
      </c>
      <c r="L17" s="7" t="str">
        <f t="shared" si="9"/>
        <v/>
      </c>
      <c r="N17" s="4" t="str">
        <f t="shared" ca="1" si="10"/>
        <v/>
      </c>
      <c r="O17" s="6"/>
      <c r="P17" s="8" t="str">
        <f t="shared" si="11"/>
        <v/>
      </c>
      <c r="Q17" s="7" t="str">
        <f t="shared" si="12"/>
        <v/>
      </c>
      <c r="R17" s="2" t="e">
        <f t="shared" si="13"/>
        <v>#VALUE!</v>
      </c>
      <c r="S17" s="2" t="e">
        <f t="shared" si="14"/>
        <v>#VALUE!</v>
      </c>
    </row>
    <row r="18" spans="9:19" x14ac:dyDescent="0.25">
      <c r="I18" s="6"/>
      <c r="J18" s="7" t="str">
        <f t="shared" si="7"/>
        <v/>
      </c>
      <c r="K18" s="7" t="str">
        <f t="shared" si="8"/>
        <v/>
      </c>
      <c r="L18" s="7" t="str">
        <f t="shared" si="9"/>
        <v/>
      </c>
      <c r="N18" s="4" t="str">
        <f t="shared" ca="1" si="10"/>
        <v/>
      </c>
      <c r="O18" s="6"/>
      <c r="P18" s="8" t="str">
        <f t="shared" si="11"/>
        <v/>
      </c>
      <c r="Q18" s="7" t="str">
        <f t="shared" si="12"/>
        <v/>
      </c>
      <c r="R18" s="2" t="e">
        <f t="shared" si="13"/>
        <v>#VALUE!</v>
      </c>
      <c r="S18" s="2" t="e">
        <f t="shared" si="14"/>
        <v>#VALUE!</v>
      </c>
    </row>
    <row r="19" spans="9:19" x14ac:dyDescent="0.25">
      <c r="I19" s="6"/>
      <c r="J19" s="7" t="str">
        <f t="shared" si="7"/>
        <v/>
      </c>
      <c r="K19" s="7" t="str">
        <f t="shared" si="8"/>
        <v/>
      </c>
      <c r="L19" s="7" t="str">
        <f t="shared" si="9"/>
        <v/>
      </c>
      <c r="N19" s="4" t="str">
        <f t="shared" ca="1" si="10"/>
        <v/>
      </c>
      <c r="O19" s="6"/>
      <c r="P19" s="8" t="str">
        <f t="shared" si="11"/>
        <v/>
      </c>
      <c r="Q19" s="7" t="str">
        <f t="shared" si="12"/>
        <v/>
      </c>
      <c r="R19" s="2" t="e">
        <f t="shared" si="13"/>
        <v>#VALUE!</v>
      </c>
      <c r="S19" s="2" t="e">
        <f t="shared" si="14"/>
        <v>#VALUE!</v>
      </c>
    </row>
    <row r="20" spans="9:19" x14ac:dyDescent="0.25">
      <c r="I20" s="6"/>
      <c r="J20" s="7" t="str">
        <f t="shared" si="7"/>
        <v/>
      </c>
      <c r="K20" s="7" t="str">
        <f t="shared" si="8"/>
        <v/>
      </c>
      <c r="L20" s="7" t="str">
        <f t="shared" si="9"/>
        <v/>
      </c>
      <c r="N20" s="4" t="str">
        <f t="shared" ca="1" si="10"/>
        <v/>
      </c>
      <c r="O20" s="6"/>
      <c r="P20" s="8" t="str">
        <f t="shared" si="11"/>
        <v/>
      </c>
      <c r="Q20" s="7" t="str">
        <f t="shared" si="12"/>
        <v/>
      </c>
      <c r="R20" s="2" t="e">
        <f t="shared" si="13"/>
        <v>#VALUE!</v>
      </c>
      <c r="S20" s="2" t="e">
        <f t="shared" si="14"/>
        <v>#VALUE!</v>
      </c>
    </row>
    <row r="21" spans="9:19" x14ac:dyDescent="0.25">
      <c r="I21" s="6"/>
      <c r="J21" s="7" t="str">
        <f t="shared" si="7"/>
        <v/>
      </c>
      <c r="K21" s="7" t="str">
        <f t="shared" si="8"/>
        <v/>
      </c>
      <c r="L21" s="7" t="str">
        <f t="shared" si="9"/>
        <v/>
      </c>
      <c r="N21" s="4" t="str">
        <f t="shared" ca="1" si="10"/>
        <v/>
      </c>
      <c r="O21" s="6"/>
      <c r="P21" s="8" t="str">
        <f t="shared" si="11"/>
        <v/>
      </c>
      <c r="Q21" s="7" t="str">
        <f t="shared" si="12"/>
        <v/>
      </c>
      <c r="R21" s="2" t="e">
        <f t="shared" si="13"/>
        <v>#VALUE!</v>
      </c>
      <c r="S21" s="2" t="e">
        <f t="shared" si="14"/>
        <v>#VALUE!</v>
      </c>
    </row>
    <row r="22" spans="9:19" x14ac:dyDescent="0.25">
      <c r="I22" s="6"/>
      <c r="J22" s="7" t="str">
        <f t="shared" si="7"/>
        <v/>
      </c>
      <c r="K22" s="7" t="str">
        <f t="shared" si="8"/>
        <v/>
      </c>
      <c r="L22" s="7" t="str">
        <f t="shared" si="9"/>
        <v/>
      </c>
      <c r="N22" s="4" t="str">
        <f t="shared" ca="1" si="10"/>
        <v/>
      </c>
      <c r="O22" s="6"/>
      <c r="P22" s="8" t="str">
        <f t="shared" si="11"/>
        <v/>
      </c>
      <c r="Q22" s="7" t="str">
        <f t="shared" si="12"/>
        <v/>
      </c>
      <c r="R22" s="2" t="e">
        <f t="shared" si="13"/>
        <v>#VALUE!</v>
      </c>
      <c r="S22" s="2" t="e">
        <f t="shared" si="14"/>
        <v>#VALUE!</v>
      </c>
    </row>
    <row r="23" spans="9:19" x14ac:dyDescent="0.25">
      <c r="I23" s="6"/>
      <c r="J23" s="7" t="str">
        <f t="shared" si="7"/>
        <v/>
      </c>
      <c r="K23" s="7" t="str">
        <f t="shared" si="8"/>
        <v/>
      </c>
      <c r="L23" s="7" t="str">
        <f t="shared" si="9"/>
        <v/>
      </c>
      <c r="N23" s="4" t="str">
        <f t="shared" ca="1" si="10"/>
        <v/>
      </c>
      <c r="O23" s="6"/>
      <c r="P23" s="8" t="str">
        <f t="shared" si="11"/>
        <v/>
      </c>
      <c r="Q23" s="7" t="str">
        <f t="shared" si="12"/>
        <v/>
      </c>
      <c r="R23" s="2" t="e">
        <f t="shared" si="13"/>
        <v>#VALUE!</v>
      </c>
      <c r="S23" s="2" t="e">
        <f t="shared" si="14"/>
        <v>#VALUE!</v>
      </c>
    </row>
    <row r="24" spans="9:19" x14ac:dyDescent="0.25">
      <c r="I24" s="6"/>
      <c r="J24" s="7" t="str">
        <f t="shared" si="7"/>
        <v/>
      </c>
      <c r="K24" s="7" t="str">
        <f t="shared" si="8"/>
        <v/>
      </c>
      <c r="L24" s="7" t="str">
        <f t="shared" si="9"/>
        <v/>
      </c>
      <c r="N24" s="4" t="str">
        <f t="shared" ca="1" si="10"/>
        <v/>
      </c>
      <c r="O24" s="6"/>
      <c r="P24" s="8" t="str">
        <f t="shared" si="11"/>
        <v/>
      </c>
      <c r="Q24" s="7" t="str">
        <f t="shared" si="12"/>
        <v/>
      </c>
      <c r="R24" s="2" t="e">
        <f t="shared" si="13"/>
        <v>#VALUE!</v>
      </c>
      <c r="S24" s="2" t="e">
        <f t="shared" si="14"/>
        <v>#VALUE!</v>
      </c>
    </row>
    <row r="25" spans="9:19" x14ac:dyDescent="0.25">
      <c r="I25" s="6"/>
      <c r="J25" s="7" t="str">
        <f t="shared" si="7"/>
        <v/>
      </c>
      <c r="K25" s="7" t="str">
        <f t="shared" si="8"/>
        <v/>
      </c>
      <c r="L25" s="7" t="str">
        <f t="shared" si="9"/>
        <v/>
      </c>
      <c r="N25" s="4" t="str">
        <f t="shared" ca="1" si="10"/>
        <v/>
      </c>
      <c r="O25" s="6"/>
      <c r="P25" s="8" t="str">
        <f t="shared" si="11"/>
        <v/>
      </c>
      <c r="Q25" s="7" t="str">
        <f t="shared" si="12"/>
        <v/>
      </c>
      <c r="R25" s="2" t="e">
        <f t="shared" si="13"/>
        <v>#VALUE!</v>
      </c>
      <c r="S25" s="2" t="e">
        <f t="shared" si="14"/>
        <v>#VALUE!</v>
      </c>
    </row>
    <row r="26" spans="9:19" x14ac:dyDescent="0.25">
      <c r="I26" s="6"/>
      <c r="J26" s="7" t="str">
        <f t="shared" si="7"/>
        <v/>
      </c>
      <c r="K26" s="7" t="str">
        <f t="shared" si="8"/>
        <v/>
      </c>
      <c r="L26" s="7" t="str">
        <f t="shared" si="9"/>
        <v/>
      </c>
      <c r="N26" s="4" t="str">
        <f t="shared" ca="1" si="10"/>
        <v/>
      </c>
      <c r="O26" s="6"/>
      <c r="P26" s="8" t="str">
        <f t="shared" si="11"/>
        <v/>
      </c>
      <c r="Q26" s="7" t="str">
        <f t="shared" si="12"/>
        <v/>
      </c>
      <c r="R26" s="2" t="e">
        <f t="shared" si="13"/>
        <v>#VALUE!</v>
      </c>
      <c r="S26" s="2" t="e">
        <f t="shared" si="14"/>
        <v>#VALUE!</v>
      </c>
    </row>
    <row r="27" spans="9:19" x14ac:dyDescent="0.25">
      <c r="I27" s="6"/>
      <c r="J27" s="7" t="str">
        <f t="shared" si="7"/>
        <v/>
      </c>
      <c r="K27" s="7" t="str">
        <f t="shared" si="8"/>
        <v/>
      </c>
      <c r="L27" s="7" t="str">
        <f t="shared" si="9"/>
        <v/>
      </c>
      <c r="N27" s="4" t="str">
        <f t="shared" ca="1" si="10"/>
        <v/>
      </c>
      <c r="O27" s="6"/>
      <c r="P27" s="8" t="str">
        <f t="shared" si="11"/>
        <v/>
      </c>
      <c r="Q27" s="7" t="str">
        <f t="shared" si="12"/>
        <v/>
      </c>
      <c r="R27" s="2" t="e">
        <f t="shared" si="13"/>
        <v>#VALUE!</v>
      </c>
      <c r="S27" s="2" t="e">
        <f t="shared" si="14"/>
        <v>#VALUE!</v>
      </c>
    </row>
    <row r="28" spans="9:19" x14ac:dyDescent="0.25">
      <c r="I28" s="6"/>
      <c r="J28" s="7" t="str">
        <f t="shared" si="7"/>
        <v/>
      </c>
      <c r="K28" s="7" t="str">
        <f t="shared" si="8"/>
        <v/>
      </c>
      <c r="L28" s="7" t="str">
        <f t="shared" si="9"/>
        <v/>
      </c>
      <c r="N28" s="4" t="str">
        <f t="shared" ca="1" si="10"/>
        <v/>
      </c>
      <c r="O28" s="6"/>
      <c r="P28" s="8" t="str">
        <f t="shared" si="11"/>
        <v/>
      </c>
      <c r="Q28" s="7" t="str">
        <f t="shared" si="12"/>
        <v/>
      </c>
      <c r="R28" s="2" t="e">
        <f t="shared" si="13"/>
        <v>#VALUE!</v>
      </c>
      <c r="S28" s="2" t="e">
        <f t="shared" si="14"/>
        <v>#VALUE!</v>
      </c>
    </row>
    <row r="29" spans="9:19" x14ac:dyDescent="0.25">
      <c r="I29" s="6"/>
      <c r="J29" s="7" t="str">
        <f t="shared" si="7"/>
        <v/>
      </c>
      <c r="K29" s="7" t="str">
        <f t="shared" si="8"/>
        <v/>
      </c>
      <c r="L29" s="7" t="str">
        <f t="shared" si="9"/>
        <v/>
      </c>
      <c r="N29" s="4" t="str">
        <f t="shared" ca="1" si="10"/>
        <v/>
      </c>
      <c r="O29" s="6"/>
      <c r="P29" s="8" t="str">
        <f t="shared" si="11"/>
        <v/>
      </c>
      <c r="Q29" s="7" t="str">
        <f t="shared" si="12"/>
        <v/>
      </c>
      <c r="R29" s="2" t="e">
        <f t="shared" si="13"/>
        <v>#VALUE!</v>
      </c>
      <c r="S29" s="2" t="e">
        <f t="shared" si="14"/>
        <v>#VALUE!</v>
      </c>
    </row>
    <row r="30" spans="9:19" x14ac:dyDescent="0.25">
      <c r="I30" s="6"/>
      <c r="J30" s="7" t="str">
        <f t="shared" si="7"/>
        <v/>
      </c>
      <c r="K30" s="7" t="str">
        <f t="shared" si="8"/>
        <v/>
      </c>
      <c r="L30" s="7" t="str">
        <f t="shared" si="9"/>
        <v/>
      </c>
      <c r="N30" s="4" t="str">
        <f t="shared" ca="1" si="10"/>
        <v/>
      </c>
      <c r="O30" s="6"/>
      <c r="P30" s="8" t="str">
        <f t="shared" si="11"/>
        <v/>
      </c>
      <c r="Q30" s="7" t="str">
        <f t="shared" si="12"/>
        <v/>
      </c>
      <c r="R30" s="2" t="e">
        <f t="shared" si="13"/>
        <v>#VALUE!</v>
      </c>
      <c r="S30" s="2" t="e">
        <f t="shared" si="14"/>
        <v>#VALUE!</v>
      </c>
    </row>
    <row r="31" spans="9:19" x14ac:dyDescent="0.25">
      <c r="I31" s="6"/>
      <c r="J31" s="7" t="str">
        <f t="shared" si="7"/>
        <v/>
      </c>
      <c r="K31" s="7" t="str">
        <f t="shared" si="8"/>
        <v/>
      </c>
      <c r="L31" s="7" t="str">
        <f t="shared" si="9"/>
        <v/>
      </c>
      <c r="N31" s="4" t="str">
        <f t="shared" ca="1" si="10"/>
        <v/>
      </c>
      <c r="O31" s="6"/>
      <c r="P31" s="8" t="str">
        <f t="shared" si="11"/>
        <v/>
      </c>
      <c r="Q31" s="7" t="str">
        <f t="shared" si="12"/>
        <v/>
      </c>
      <c r="R31" s="2" t="e">
        <f t="shared" si="13"/>
        <v>#VALUE!</v>
      </c>
      <c r="S31" s="2" t="e">
        <f t="shared" si="14"/>
        <v>#VALUE!</v>
      </c>
    </row>
    <row r="32" spans="9:19" x14ac:dyDescent="0.25">
      <c r="I32" s="6"/>
      <c r="J32" s="7" t="str">
        <f t="shared" si="7"/>
        <v/>
      </c>
      <c r="K32" s="7" t="str">
        <f t="shared" si="8"/>
        <v/>
      </c>
      <c r="L32" s="7" t="str">
        <f t="shared" si="9"/>
        <v/>
      </c>
      <c r="N32" s="4" t="str">
        <f t="shared" ca="1" si="10"/>
        <v/>
      </c>
      <c r="O32" s="6"/>
      <c r="P32" s="8" t="str">
        <f t="shared" si="11"/>
        <v/>
      </c>
      <c r="Q32" s="7" t="str">
        <f t="shared" si="12"/>
        <v/>
      </c>
      <c r="R32" s="2" t="e">
        <f t="shared" si="13"/>
        <v>#VALUE!</v>
      </c>
      <c r="S32" s="2" t="e">
        <f t="shared" si="14"/>
        <v>#VALUE!</v>
      </c>
    </row>
    <row r="33" spans="9:19" x14ac:dyDescent="0.25">
      <c r="I33" s="6"/>
      <c r="J33" s="7" t="str">
        <f t="shared" si="7"/>
        <v/>
      </c>
      <c r="K33" s="7" t="str">
        <f t="shared" si="8"/>
        <v/>
      </c>
      <c r="L33" s="7" t="str">
        <f t="shared" si="9"/>
        <v/>
      </c>
      <c r="N33" s="4" t="str">
        <f t="shared" ca="1" si="10"/>
        <v/>
      </c>
      <c r="O33" s="6"/>
      <c r="P33" s="8" t="str">
        <f t="shared" si="11"/>
        <v/>
      </c>
      <c r="Q33" s="7" t="str">
        <f t="shared" si="12"/>
        <v/>
      </c>
      <c r="R33" s="2" t="e">
        <f t="shared" si="13"/>
        <v>#VALUE!</v>
      </c>
      <c r="S33" s="2" t="e">
        <f t="shared" si="14"/>
        <v>#VALUE!</v>
      </c>
    </row>
    <row r="34" spans="9:19" x14ac:dyDescent="0.25">
      <c r="I34" s="6"/>
      <c r="J34" s="7" t="str">
        <f t="shared" si="7"/>
        <v/>
      </c>
      <c r="K34" s="7" t="str">
        <f t="shared" si="8"/>
        <v/>
      </c>
      <c r="L34" s="7" t="str">
        <f t="shared" si="9"/>
        <v/>
      </c>
      <c r="N34" s="4" t="str">
        <f t="shared" ca="1" si="10"/>
        <v/>
      </c>
      <c r="O34" s="6"/>
      <c r="P34" s="8" t="str">
        <f t="shared" si="11"/>
        <v/>
      </c>
      <c r="Q34" s="7" t="str">
        <f t="shared" si="12"/>
        <v/>
      </c>
      <c r="R34" s="2" t="e">
        <f t="shared" si="13"/>
        <v>#VALUE!</v>
      </c>
      <c r="S34" s="2" t="e">
        <f t="shared" si="14"/>
        <v>#VALUE!</v>
      </c>
    </row>
    <row r="35" spans="9:19" x14ac:dyDescent="0.25">
      <c r="I35" s="6"/>
      <c r="J35" s="7" t="str">
        <f t="shared" si="7"/>
        <v/>
      </c>
      <c r="K35" s="7" t="str">
        <f t="shared" si="8"/>
        <v/>
      </c>
      <c r="L35" s="7" t="str">
        <f t="shared" si="9"/>
        <v/>
      </c>
      <c r="N35" s="4" t="str">
        <f t="shared" ca="1" si="10"/>
        <v/>
      </c>
      <c r="O35" s="6"/>
      <c r="P35" s="8" t="str">
        <f t="shared" si="11"/>
        <v/>
      </c>
      <c r="Q35" s="7" t="str">
        <f t="shared" si="12"/>
        <v/>
      </c>
      <c r="R35" s="2" t="e">
        <f t="shared" si="13"/>
        <v>#VALUE!</v>
      </c>
      <c r="S35" s="2" t="e">
        <f t="shared" si="14"/>
        <v>#VALUE!</v>
      </c>
    </row>
    <row r="36" spans="9:19" x14ac:dyDescent="0.25">
      <c r="I36" s="6"/>
      <c r="J36" s="7" t="str">
        <f t="shared" si="7"/>
        <v/>
      </c>
      <c r="K36" s="7" t="str">
        <f t="shared" si="8"/>
        <v/>
      </c>
      <c r="L36" s="7" t="str">
        <f t="shared" si="9"/>
        <v/>
      </c>
      <c r="N36" s="4" t="str">
        <f t="shared" ca="1" si="10"/>
        <v/>
      </c>
      <c r="O36" s="6"/>
      <c r="P36" s="8" t="str">
        <f t="shared" si="11"/>
        <v/>
      </c>
      <c r="Q36" s="7" t="str">
        <f t="shared" si="12"/>
        <v/>
      </c>
      <c r="R36" s="2" t="e">
        <f t="shared" si="13"/>
        <v>#VALUE!</v>
      </c>
      <c r="S36" s="2" t="e">
        <f t="shared" si="14"/>
        <v>#VALUE!</v>
      </c>
    </row>
    <row r="37" spans="9:19" x14ac:dyDescent="0.25">
      <c r="I37" s="6"/>
      <c r="J37" s="7" t="str">
        <f t="shared" si="7"/>
        <v/>
      </c>
      <c r="K37" s="7" t="str">
        <f t="shared" si="8"/>
        <v/>
      </c>
      <c r="L37" s="7" t="str">
        <f t="shared" si="9"/>
        <v/>
      </c>
      <c r="N37" s="4" t="str">
        <f t="shared" ca="1" si="10"/>
        <v/>
      </c>
      <c r="O37" s="6"/>
      <c r="P37" s="8" t="str">
        <f t="shared" si="11"/>
        <v/>
      </c>
      <c r="Q37" s="7" t="str">
        <f t="shared" si="12"/>
        <v/>
      </c>
      <c r="R37" s="2" t="e">
        <f t="shared" si="13"/>
        <v>#VALUE!</v>
      </c>
      <c r="S37" s="2" t="e">
        <f t="shared" si="14"/>
        <v>#VALUE!</v>
      </c>
    </row>
    <row r="38" spans="9:19" x14ac:dyDescent="0.25">
      <c r="I38" s="6"/>
      <c r="J38" s="7" t="str">
        <f t="shared" si="7"/>
        <v/>
      </c>
      <c r="K38" s="7" t="str">
        <f t="shared" si="8"/>
        <v/>
      </c>
      <c r="L38" s="7" t="str">
        <f t="shared" si="9"/>
        <v/>
      </c>
      <c r="N38" s="4" t="str">
        <f t="shared" ca="1" si="10"/>
        <v/>
      </c>
      <c r="O38" s="6"/>
      <c r="P38" s="8" t="str">
        <f t="shared" si="11"/>
        <v/>
      </c>
      <c r="Q38" s="7" t="str">
        <f t="shared" si="12"/>
        <v/>
      </c>
      <c r="R38" s="2" t="e">
        <f t="shared" si="13"/>
        <v>#VALUE!</v>
      </c>
      <c r="S38" s="2" t="e">
        <f t="shared" si="14"/>
        <v>#VALUE!</v>
      </c>
    </row>
    <row r="39" spans="9:19" x14ac:dyDescent="0.25">
      <c r="I39" s="6"/>
      <c r="J39" s="7" t="str">
        <f t="shared" si="7"/>
        <v/>
      </c>
      <c r="K39" s="7" t="str">
        <f t="shared" si="8"/>
        <v/>
      </c>
      <c r="L39" s="7" t="str">
        <f t="shared" si="9"/>
        <v/>
      </c>
      <c r="N39" s="4" t="str">
        <f t="shared" ca="1" si="10"/>
        <v/>
      </c>
      <c r="O39" s="6"/>
      <c r="P39" s="8" t="str">
        <f t="shared" si="11"/>
        <v/>
      </c>
      <c r="Q39" s="7" t="str">
        <f t="shared" si="12"/>
        <v/>
      </c>
      <c r="R39" s="2" t="e">
        <f t="shared" si="13"/>
        <v>#VALUE!</v>
      </c>
      <c r="S39" s="2" t="e">
        <f t="shared" si="14"/>
        <v>#VALUE!</v>
      </c>
    </row>
    <row r="40" spans="9:19" x14ac:dyDescent="0.25">
      <c r="I40" s="6"/>
      <c r="J40" s="7" t="str">
        <f t="shared" si="7"/>
        <v/>
      </c>
      <c r="K40" s="7" t="str">
        <f t="shared" si="8"/>
        <v/>
      </c>
      <c r="L40" s="7" t="str">
        <f t="shared" si="9"/>
        <v/>
      </c>
      <c r="N40" s="4" t="str">
        <f t="shared" ca="1" si="10"/>
        <v/>
      </c>
      <c r="O40" s="6"/>
      <c r="P40" s="8" t="str">
        <f t="shared" si="11"/>
        <v/>
      </c>
      <c r="Q40" s="7" t="str">
        <f t="shared" si="12"/>
        <v/>
      </c>
      <c r="R40" s="2" t="e">
        <f t="shared" si="13"/>
        <v>#VALUE!</v>
      </c>
      <c r="S40" s="2" t="e">
        <f t="shared" si="14"/>
        <v>#VALUE!</v>
      </c>
    </row>
    <row r="41" spans="9:19" x14ac:dyDescent="0.25">
      <c r="I41" s="6"/>
      <c r="J41" s="7" t="str">
        <f t="shared" si="7"/>
        <v/>
      </c>
      <c r="K41" s="7" t="str">
        <f t="shared" si="8"/>
        <v/>
      </c>
      <c r="L41" s="7" t="str">
        <f t="shared" si="9"/>
        <v/>
      </c>
      <c r="N41" s="4" t="str">
        <f t="shared" ca="1" si="10"/>
        <v/>
      </c>
      <c r="O41" s="6"/>
      <c r="P41" s="8" t="str">
        <f t="shared" si="11"/>
        <v/>
      </c>
      <c r="Q41" s="7" t="str">
        <f t="shared" si="12"/>
        <v/>
      </c>
      <c r="R41" s="2" t="e">
        <f t="shared" si="13"/>
        <v>#VALUE!</v>
      </c>
      <c r="S41" s="2" t="e">
        <f t="shared" si="14"/>
        <v>#VALUE!</v>
      </c>
    </row>
    <row r="42" spans="9:19" x14ac:dyDescent="0.25">
      <c r="I42" s="6"/>
      <c r="J42" s="7" t="str">
        <f t="shared" si="7"/>
        <v/>
      </c>
      <c r="K42" s="7" t="str">
        <f t="shared" si="8"/>
        <v/>
      </c>
      <c r="L42" s="7" t="str">
        <f t="shared" si="9"/>
        <v/>
      </c>
      <c r="N42" s="4" t="str">
        <f t="shared" ca="1" si="10"/>
        <v/>
      </c>
      <c r="O42" s="6"/>
      <c r="P42" s="8" t="str">
        <f t="shared" si="11"/>
        <v/>
      </c>
      <c r="Q42" s="7" t="str">
        <f t="shared" si="12"/>
        <v/>
      </c>
      <c r="R42" s="2" t="e">
        <f t="shared" si="13"/>
        <v>#VALUE!</v>
      </c>
      <c r="S42" s="2" t="e">
        <f t="shared" si="14"/>
        <v>#VALUE!</v>
      </c>
    </row>
    <row r="43" spans="9:19" x14ac:dyDescent="0.25">
      <c r="I43" s="6"/>
      <c r="J43" s="7" t="str">
        <f t="shared" si="7"/>
        <v/>
      </c>
      <c r="K43" s="7" t="str">
        <f t="shared" si="8"/>
        <v/>
      </c>
      <c r="L43" s="7" t="str">
        <f t="shared" si="9"/>
        <v/>
      </c>
      <c r="N43" s="4" t="str">
        <f t="shared" ca="1" si="10"/>
        <v/>
      </c>
      <c r="O43" s="6"/>
      <c r="P43" s="8" t="str">
        <f t="shared" si="11"/>
        <v/>
      </c>
      <c r="Q43" s="7" t="str">
        <f t="shared" si="12"/>
        <v/>
      </c>
      <c r="R43" s="2" t="e">
        <f t="shared" si="13"/>
        <v>#VALUE!</v>
      </c>
      <c r="S43" s="2" t="e">
        <f t="shared" si="14"/>
        <v>#VALUE!</v>
      </c>
    </row>
    <row r="44" spans="9:19" x14ac:dyDescent="0.25">
      <c r="I44" s="6"/>
      <c r="J44" s="7" t="str">
        <f t="shared" si="7"/>
        <v/>
      </c>
      <c r="K44" s="7" t="str">
        <f t="shared" si="8"/>
        <v/>
      </c>
      <c r="L44" s="7" t="str">
        <f t="shared" si="9"/>
        <v/>
      </c>
      <c r="N44" s="4" t="str">
        <f t="shared" ca="1" si="10"/>
        <v/>
      </c>
      <c r="O44" s="6"/>
      <c r="P44" s="8" t="str">
        <f t="shared" si="11"/>
        <v/>
      </c>
      <c r="Q44" s="7" t="str">
        <f t="shared" si="12"/>
        <v/>
      </c>
      <c r="R44" s="2" t="e">
        <f t="shared" si="13"/>
        <v>#VALUE!</v>
      </c>
      <c r="S44" s="2" t="e">
        <f t="shared" si="14"/>
        <v>#VALUE!</v>
      </c>
    </row>
    <row r="45" spans="9:19" x14ac:dyDescent="0.25">
      <c r="I45" s="6"/>
      <c r="J45" s="7" t="str">
        <f t="shared" si="7"/>
        <v/>
      </c>
      <c r="K45" s="7" t="str">
        <f t="shared" si="8"/>
        <v/>
      </c>
      <c r="L45" s="7" t="str">
        <f t="shared" si="9"/>
        <v/>
      </c>
      <c r="N45" s="4" t="str">
        <f t="shared" ca="1" si="10"/>
        <v/>
      </c>
      <c r="O45" s="6"/>
      <c r="P45" s="8" t="str">
        <f t="shared" si="11"/>
        <v/>
      </c>
      <c r="Q45" s="7" t="str">
        <f t="shared" si="12"/>
        <v/>
      </c>
      <c r="R45" s="2" t="e">
        <f t="shared" si="13"/>
        <v>#VALUE!</v>
      </c>
      <c r="S45" s="2" t="e">
        <f t="shared" si="14"/>
        <v>#VALUE!</v>
      </c>
    </row>
    <row r="46" spans="9:19" x14ac:dyDescent="0.25">
      <c r="I46" s="6"/>
      <c r="J46" s="7" t="str">
        <f t="shared" si="7"/>
        <v/>
      </c>
      <c r="K46" s="7" t="str">
        <f t="shared" si="8"/>
        <v/>
      </c>
      <c r="L46" s="7" t="str">
        <f t="shared" si="9"/>
        <v/>
      </c>
      <c r="N46" s="4" t="str">
        <f t="shared" ca="1" si="10"/>
        <v/>
      </c>
      <c r="O46" s="6"/>
      <c r="P46" s="8" t="str">
        <f t="shared" si="11"/>
        <v/>
      </c>
      <c r="Q46" s="7" t="str">
        <f t="shared" si="12"/>
        <v/>
      </c>
      <c r="R46" s="2" t="e">
        <f t="shared" si="13"/>
        <v>#VALUE!</v>
      </c>
      <c r="S46" s="2" t="e">
        <f t="shared" si="14"/>
        <v>#VALUE!</v>
      </c>
    </row>
    <row r="47" spans="9:19" x14ac:dyDescent="0.25">
      <c r="I47" s="6"/>
      <c r="J47" s="7" t="str">
        <f t="shared" ref="J47:J101" si="15">IF(OR(ISBLANK(F47),ISBLANK(G47),ISBLANK(H47)),"",(F47-G47)*100*H47)</f>
        <v/>
      </c>
      <c r="K47" s="7" t="str">
        <f t="shared" ref="K47:K101" si="16">IF(OR(ISBLANK(I47),ISBLANK(H47)),"",I47*100*H47)</f>
        <v/>
      </c>
      <c r="L47" s="7" t="str">
        <f t="shared" ref="L47:L101" si="17">IF(ISBLANK(I47),"",I47/2)</f>
        <v/>
      </c>
      <c r="N47" s="4" t="str">
        <f t="shared" ca="1" si="10"/>
        <v/>
      </c>
      <c r="O47" s="6"/>
      <c r="P47" s="8" t="str">
        <f t="shared" ref="P47:P101" si="18">IF(OR(ISBLANK(M47),ISBLANK(B47)),"",M47-B47)</f>
        <v/>
      </c>
      <c r="Q47" s="7" t="str">
        <f t="shared" ref="Q47:Q101" si="19">IF(OR(ISBLANK(O47),ISBLANK(I47),ISBLANK(H47)),"",(I47-O47)*100*H47)</f>
        <v/>
      </c>
      <c r="R47" s="2" t="e">
        <f t="shared" ref="R47:R101" si="20">IF(OR(ISBLANK(Q47),ISBLANK(J47),J47=0),"",Q47/J47)</f>
        <v>#VALUE!</v>
      </c>
      <c r="S47" s="2" t="e">
        <f t="shared" ref="S47:S101" si="21">IF(OR(ISBLANK(R47),ISBLANK(P47),P47=0),"",R47*(365/P47))</f>
        <v>#VALUE!</v>
      </c>
    </row>
    <row r="48" spans="9:19" x14ac:dyDescent="0.25">
      <c r="I48" s="6"/>
      <c r="J48" s="7" t="str">
        <f t="shared" si="15"/>
        <v/>
      </c>
      <c r="K48" s="7" t="str">
        <f t="shared" si="16"/>
        <v/>
      </c>
      <c r="L48" s="7" t="str">
        <f t="shared" si="17"/>
        <v/>
      </c>
      <c r="N48" s="4" t="str">
        <f t="shared" ca="1" si="10"/>
        <v/>
      </c>
      <c r="O48" s="6"/>
      <c r="P48" s="8" t="str">
        <f t="shared" si="18"/>
        <v/>
      </c>
      <c r="Q48" s="7" t="str">
        <f t="shared" si="19"/>
        <v/>
      </c>
      <c r="R48" s="2" t="e">
        <f t="shared" si="20"/>
        <v>#VALUE!</v>
      </c>
      <c r="S48" s="2" t="e">
        <f t="shared" si="21"/>
        <v>#VALUE!</v>
      </c>
    </row>
    <row r="49" spans="9:19" x14ac:dyDescent="0.25">
      <c r="I49" s="6"/>
      <c r="J49" s="7" t="str">
        <f t="shared" si="15"/>
        <v/>
      </c>
      <c r="K49" s="7" t="str">
        <f t="shared" si="16"/>
        <v/>
      </c>
      <c r="L49" s="7" t="str">
        <f t="shared" si="17"/>
        <v/>
      </c>
      <c r="N49" s="4" t="str">
        <f t="shared" ca="1" si="10"/>
        <v/>
      </c>
      <c r="O49" s="6"/>
      <c r="P49" s="8" t="str">
        <f t="shared" si="18"/>
        <v/>
      </c>
      <c r="Q49" s="7" t="str">
        <f t="shared" si="19"/>
        <v/>
      </c>
      <c r="R49" s="2" t="e">
        <f t="shared" si="20"/>
        <v>#VALUE!</v>
      </c>
      <c r="S49" s="2" t="e">
        <f t="shared" si="21"/>
        <v>#VALUE!</v>
      </c>
    </row>
    <row r="50" spans="9:19" x14ac:dyDescent="0.25">
      <c r="I50" s="6"/>
      <c r="J50" s="7" t="str">
        <f t="shared" si="15"/>
        <v/>
      </c>
      <c r="K50" s="7" t="str">
        <f t="shared" si="16"/>
        <v/>
      </c>
      <c r="L50" s="7" t="str">
        <f t="shared" si="17"/>
        <v/>
      </c>
      <c r="N50" s="4" t="str">
        <f t="shared" ca="1" si="10"/>
        <v/>
      </c>
      <c r="O50" s="6"/>
      <c r="P50" s="8" t="str">
        <f t="shared" si="18"/>
        <v/>
      </c>
      <c r="Q50" s="7" t="str">
        <f t="shared" si="19"/>
        <v/>
      </c>
      <c r="R50" s="2" t="e">
        <f t="shared" si="20"/>
        <v>#VALUE!</v>
      </c>
      <c r="S50" s="2" t="e">
        <f t="shared" si="21"/>
        <v>#VALUE!</v>
      </c>
    </row>
    <row r="51" spans="9:19" x14ac:dyDescent="0.25">
      <c r="I51" s="6"/>
      <c r="J51" s="7" t="str">
        <f t="shared" si="15"/>
        <v/>
      </c>
      <c r="K51" s="7" t="str">
        <f t="shared" si="16"/>
        <v/>
      </c>
      <c r="L51" s="7" t="str">
        <f t="shared" si="17"/>
        <v/>
      </c>
      <c r="N51" s="4" t="str">
        <f t="shared" ca="1" si="10"/>
        <v/>
      </c>
      <c r="O51" s="6"/>
      <c r="P51" s="8" t="str">
        <f t="shared" si="18"/>
        <v/>
      </c>
      <c r="Q51" s="7" t="str">
        <f t="shared" si="19"/>
        <v/>
      </c>
      <c r="R51" s="2" t="e">
        <f t="shared" si="20"/>
        <v>#VALUE!</v>
      </c>
      <c r="S51" s="2" t="e">
        <f t="shared" si="21"/>
        <v>#VALUE!</v>
      </c>
    </row>
    <row r="52" spans="9:19" x14ac:dyDescent="0.25">
      <c r="I52" s="6"/>
      <c r="J52" s="7" t="str">
        <f t="shared" si="15"/>
        <v/>
      </c>
      <c r="K52" s="7" t="str">
        <f t="shared" si="16"/>
        <v/>
      </c>
      <c r="L52" s="7" t="str">
        <f t="shared" si="17"/>
        <v/>
      </c>
      <c r="N52" s="4" t="str">
        <f t="shared" ca="1" si="10"/>
        <v/>
      </c>
      <c r="O52" s="6"/>
      <c r="P52" s="8" t="str">
        <f t="shared" si="18"/>
        <v/>
      </c>
      <c r="Q52" s="7" t="str">
        <f t="shared" si="19"/>
        <v/>
      </c>
      <c r="R52" s="2" t="e">
        <f t="shared" si="20"/>
        <v>#VALUE!</v>
      </c>
      <c r="S52" s="2" t="e">
        <f t="shared" si="21"/>
        <v>#VALUE!</v>
      </c>
    </row>
    <row r="53" spans="9:19" x14ac:dyDescent="0.25">
      <c r="I53" s="6"/>
      <c r="J53" s="7" t="str">
        <f t="shared" si="15"/>
        <v/>
      </c>
      <c r="K53" s="7" t="str">
        <f t="shared" si="16"/>
        <v/>
      </c>
      <c r="L53" s="7" t="str">
        <f t="shared" si="17"/>
        <v/>
      </c>
      <c r="N53" s="4" t="str">
        <f t="shared" ca="1" si="10"/>
        <v/>
      </c>
      <c r="O53" s="6"/>
      <c r="P53" s="8" t="str">
        <f t="shared" si="18"/>
        <v/>
      </c>
      <c r="Q53" s="7" t="str">
        <f t="shared" si="19"/>
        <v/>
      </c>
      <c r="R53" s="2" t="e">
        <f t="shared" si="20"/>
        <v>#VALUE!</v>
      </c>
      <c r="S53" s="2" t="e">
        <f t="shared" si="21"/>
        <v>#VALUE!</v>
      </c>
    </row>
    <row r="54" spans="9:19" x14ac:dyDescent="0.25">
      <c r="I54" s="6"/>
      <c r="J54" s="7" t="str">
        <f t="shared" si="15"/>
        <v/>
      </c>
      <c r="K54" s="7" t="str">
        <f t="shared" si="16"/>
        <v/>
      </c>
      <c r="L54" s="7" t="str">
        <f t="shared" si="17"/>
        <v/>
      </c>
      <c r="N54" s="4" t="str">
        <f t="shared" ca="1" si="10"/>
        <v/>
      </c>
      <c r="O54" s="6"/>
      <c r="P54" s="8" t="str">
        <f t="shared" si="18"/>
        <v/>
      </c>
      <c r="Q54" s="7" t="str">
        <f t="shared" si="19"/>
        <v/>
      </c>
      <c r="R54" s="2" t="e">
        <f t="shared" si="20"/>
        <v>#VALUE!</v>
      </c>
      <c r="S54" s="2" t="e">
        <f t="shared" si="21"/>
        <v>#VALUE!</v>
      </c>
    </row>
    <row r="55" spans="9:19" x14ac:dyDescent="0.25">
      <c r="I55" s="6"/>
      <c r="J55" s="7" t="str">
        <f t="shared" si="15"/>
        <v/>
      </c>
      <c r="K55" s="7" t="str">
        <f t="shared" si="16"/>
        <v/>
      </c>
      <c r="L55" s="7" t="str">
        <f t="shared" si="17"/>
        <v/>
      </c>
      <c r="N55" s="4" t="str">
        <f t="shared" ca="1" si="10"/>
        <v/>
      </c>
      <c r="O55" s="6"/>
      <c r="P55" s="8" t="str">
        <f t="shared" si="18"/>
        <v/>
      </c>
      <c r="Q55" s="7" t="str">
        <f t="shared" si="19"/>
        <v/>
      </c>
      <c r="R55" s="2" t="e">
        <f t="shared" si="20"/>
        <v>#VALUE!</v>
      </c>
      <c r="S55" s="2" t="e">
        <f t="shared" si="21"/>
        <v>#VALUE!</v>
      </c>
    </row>
    <row r="56" spans="9:19" x14ac:dyDescent="0.25">
      <c r="I56" s="6"/>
      <c r="J56" s="7" t="str">
        <f t="shared" si="15"/>
        <v/>
      </c>
      <c r="K56" s="7" t="str">
        <f t="shared" si="16"/>
        <v/>
      </c>
      <c r="L56" s="7" t="str">
        <f t="shared" si="17"/>
        <v/>
      </c>
      <c r="N56" s="4" t="str">
        <f t="shared" ca="1" si="10"/>
        <v/>
      </c>
      <c r="O56" s="6"/>
      <c r="P56" s="8" t="str">
        <f t="shared" si="18"/>
        <v/>
      </c>
      <c r="Q56" s="7" t="str">
        <f t="shared" si="19"/>
        <v/>
      </c>
      <c r="R56" s="2" t="e">
        <f t="shared" si="20"/>
        <v>#VALUE!</v>
      </c>
      <c r="S56" s="2" t="e">
        <f t="shared" si="21"/>
        <v>#VALUE!</v>
      </c>
    </row>
    <row r="57" spans="9:19" x14ac:dyDescent="0.25">
      <c r="I57" s="6"/>
      <c r="J57" s="7" t="str">
        <f t="shared" si="15"/>
        <v/>
      </c>
      <c r="K57" s="7" t="str">
        <f t="shared" si="16"/>
        <v/>
      </c>
      <c r="L57" s="7" t="str">
        <f t="shared" si="17"/>
        <v/>
      </c>
      <c r="N57" s="4" t="str">
        <f t="shared" ca="1" si="10"/>
        <v/>
      </c>
      <c r="O57" s="6"/>
      <c r="P57" s="8" t="str">
        <f t="shared" si="18"/>
        <v/>
      </c>
      <c r="Q57" s="7" t="str">
        <f t="shared" si="19"/>
        <v/>
      </c>
      <c r="R57" s="2" t="e">
        <f t="shared" si="20"/>
        <v>#VALUE!</v>
      </c>
      <c r="S57" s="2" t="e">
        <f t="shared" si="21"/>
        <v>#VALUE!</v>
      </c>
    </row>
    <row r="58" spans="9:19" x14ac:dyDescent="0.25">
      <c r="I58" s="6"/>
      <c r="J58" s="7" t="str">
        <f t="shared" si="15"/>
        <v/>
      </c>
      <c r="K58" s="7" t="str">
        <f t="shared" si="16"/>
        <v/>
      </c>
      <c r="L58" s="7" t="str">
        <f t="shared" si="17"/>
        <v/>
      </c>
      <c r="N58" s="4" t="str">
        <f t="shared" ca="1" si="10"/>
        <v/>
      </c>
      <c r="O58" s="6"/>
      <c r="P58" s="8" t="str">
        <f t="shared" si="18"/>
        <v/>
      </c>
      <c r="Q58" s="7" t="str">
        <f t="shared" si="19"/>
        <v/>
      </c>
      <c r="R58" s="2" t="e">
        <f t="shared" si="20"/>
        <v>#VALUE!</v>
      </c>
      <c r="S58" s="2" t="e">
        <f t="shared" si="21"/>
        <v>#VALUE!</v>
      </c>
    </row>
    <row r="59" spans="9:19" x14ac:dyDescent="0.25">
      <c r="I59" s="6"/>
      <c r="J59" s="7" t="str">
        <f t="shared" si="15"/>
        <v/>
      </c>
      <c r="K59" s="7" t="str">
        <f t="shared" si="16"/>
        <v/>
      </c>
      <c r="L59" s="7" t="str">
        <f t="shared" si="17"/>
        <v/>
      </c>
      <c r="N59" s="4" t="str">
        <f t="shared" ca="1" si="10"/>
        <v/>
      </c>
      <c r="O59" s="6"/>
      <c r="P59" s="8" t="str">
        <f t="shared" si="18"/>
        <v/>
      </c>
      <c r="Q59" s="7" t="str">
        <f t="shared" si="19"/>
        <v/>
      </c>
      <c r="R59" s="2" t="e">
        <f t="shared" si="20"/>
        <v>#VALUE!</v>
      </c>
      <c r="S59" s="2" t="e">
        <f t="shared" si="21"/>
        <v>#VALUE!</v>
      </c>
    </row>
    <row r="60" spans="9:19" x14ac:dyDescent="0.25">
      <c r="I60" s="6"/>
      <c r="J60" s="7" t="str">
        <f t="shared" si="15"/>
        <v/>
      </c>
      <c r="K60" s="7" t="str">
        <f t="shared" si="16"/>
        <v/>
      </c>
      <c r="L60" s="7" t="str">
        <f t="shared" si="17"/>
        <v/>
      </c>
      <c r="N60" s="4" t="str">
        <f t="shared" ca="1" si="10"/>
        <v/>
      </c>
      <c r="O60" s="6"/>
      <c r="P60" s="8" t="str">
        <f t="shared" si="18"/>
        <v/>
      </c>
      <c r="Q60" s="7" t="str">
        <f t="shared" si="19"/>
        <v/>
      </c>
      <c r="R60" s="2" t="e">
        <f t="shared" si="20"/>
        <v>#VALUE!</v>
      </c>
      <c r="S60" s="2" t="e">
        <f t="shared" si="21"/>
        <v>#VALUE!</v>
      </c>
    </row>
    <row r="61" spans="9:19" x14ac:dyDescent="0.25">
      <c r="I61" s="6"/>
      <c r="J61" s="7" t="str">
        <f t="shared" si="15"/>
        <v/>
      </c>
      <c r="K61" s="7" t="str">
        <f t="shared" si="16"/>
        <v/>
      </c>
      <c r="L61" s="7" t="str">
        <f t="shared" si="17"/>
        <v/>
      </c>
      <c r="N61" s="4" t="str">
        <f t="shared" ca="1" si="10"/>
        <v/>
      </c>
      <c r="O61" s="6"/>
      <c r="P61" s="8" t="str">
        <f t="shared" si="18"/>
        <v/>
      </c>
      <c r="Q61" s="7" t="str">
        <f t="shared" si="19"/>
        <v/>
      </c>
      <c r="R61" s="2" t="e">
        <f t="shared" si="20"/>
        <v>#VALUE!</v>
      </c>
      <c r="S61" s="2" t="e">
        <f t="shared" si="21"/>
        <v>#VALUE!</v>
      </c>
    </row>
    <row r="62" spans="9:19" x14ac:dyDescent="0.25">
      <c r="I62" s="6"/>
      <c r="J62" s="7" t="str">
        <f t="shared" si="15"/>
        <v/>
      </c>
      <c r="K62" s="7" t="str">
        <f t="shared" si="16"/>
        <v/>
      </c>
      <c r="L62" s="7" t="str">
        <f t="shared" si="17"/>
        <v/>
      </c>
      <c r="N62" s="4" t="str">
        <f t="shared" ca="1" si="10"/>
        <v/>
      </c>
      <c r="O62" s="6"/>
      <c r="P62" s="8" t="str">
        <f t="shared" si="18"/>
        <v/>
      </c>
      <c r="Q62" s="7" t="str">
        <f t="shared" si="19"/>
        <v/>
      </c>
      <c r="R62" s="2" t="e">
        <f t="shared" si="20"/>
        <v>#VALUE!</v>
      </c>
      <c r="S62" s="2" t="e">
        <f t="shared" si="21"/>
        <v>#VALUE!</v>
      </c>
    </row>
    <row r="63" spans="9:19" x14ac:dyDescent="0.25">
      <c r="I63" s="6"/>
      <c r="J63" s="7" t="str">
        <f t="shared" si="15"/>
        <v/>
      </c>
      <c r="K63" s="7" t="str">
        <f t="shared" si="16"/>
        <v/>
      </c>
      <c r="L63" s="7" t="str">
        <f t="shared" si="17"/>
        <v/>
      </c>
      <c r="N63" s="4" t="str">
        <f t="shared" ca="1" si="10"/>
        <v/>
      </c>
      <c r="O63" s="6"/>
      <c r="P63" s="8" t="str">
        <f t="shared" si="18"/>
        <v/>
      </c>
      <c r="Q63" s="7" t="str">
        <f t="shared" si="19"/>
        <v/>
      </c>
      <c r="R63" s="2" t="e">
        <f t="shared" si="20"/>
        <v>#VALUE!</v>
      </c>
      <c r="S63" s="2" t="e">
        <f t="shared" si="21"/>
        <v>#VALUE!</v>
      </c>
    </row>
    <row r="64" spans="9:19" x14ac:dyDescent="0.25">
      <c r="I64" s="6"/>
      <c r="J64" s="7" t="str">
        <f t="shared" si="15"/>
        <v/>
      </c>
      <c r="K64" s="7" t="str">
        <f t="shared" si="16"/>
        <v/>
      </c>
      <c r="L64" s="7" t="str">
        <f t="shared" si="17"/>
        <v/>
      </c>
      <c r="N64" s="4" t="str">
        <f t="shared" ca="1" si="10"/>
        <v/>
      </c>
      <c r="O64" s="6"/>
      <c r="P64" s="8" t="str">
        <f t="shared" si="18"/>
        <v/>
      </c>
      <c r="Q64" s="7" t="str">
        <f t="shared" si="19"/>
        <v/>
      </c>
      <c r="R64" s="2" t="e">
        <f t="shared" si="20"/>
        <v>#VALUE!</v>
      </c>
      <c r="S64" s="2" t="e">
        <f t="shared" si="21"/>
        <v>#VALUE!</v>
      </c>
    </row>
    <row r="65" spans="9:19" x14ac:dyDescent="0.25">
      <c r="I65" s="6"/>
      <c r="J65" s="7" t="str">
        <f t="shared" si="15"/>
        <v/>
      </c>
      <c r="K65" s="7" t="str">
        <f t="shared" si="16"/>
        <v/>
      </c>
      <c r="L65" s="7" t="str">
        <f t="shared" si="17"/>
        <v/>
      </c>
      <c r="N65" s="4" t="str">
        <f t="shared" ca="1" si="10"/>
        <v/>
      </c>
      <c r="O65" s="6"/>
      <c r="P65" s="8" t="str">
        <f t="shared" si="18"/>
        <v/>
      </c>
      <c r="Q65" s="7" t="str">
        <f t="shared" si="19"/>
        <v/>
      </c>
      <c r="R65" s="2" t="e">
        <f t="shared" si="20"/>
        <v>#VALUE!</v>
      </c>
      <c r="S65" s="2" t="e">
        <f t="shared" si="21"/>
        <v>#VALUE!</v>
      </c>
    </row>
    <row r="66" spans="9:19" x14ac:dyDescent="0.25">
      <c r="I66" s="6"/>
      <c r="J66" s="7" t="str">
        <f t="shared" si="15"/>
        <v/>
      </c>
      <c r="K66" s="7" t="str">
        <f t="shared" si="16"/>
        <v/>
      </c>
      <c r="L66" s="7" t="str">
        <f t="shared" si="17"/>
        <v/>
      </c>
      <c r="N66" s="4" t="str">
        <f t="shared" ca="1" si="10"/>
        <v/>
      </c>
      <c r="O66" s="6"/>
      <c r="P66" s="8" t="str">
        <f t="shared" si="18"/>
        <v/>
      </c>
      <c r="Q66" s="7" t="str">
        <f t="shared" si="19"/>
        <v/>
      </c>
      <c r="R66" s="2" t="e">
        <f t="shared" si="20"/>
        <v>#VALUE!</v>
      </c>
      <c r="S66" s="2" t="e">
        <f t="shared" si="21"/>
        <v>#VALUE!</v>
      </c>
    </row>
    <row r="67" spans="9:19" x14ac:dyDescent="0.25">
      <c r="I67" s="6"/>
      <c r="J67" s="7" t="str">
        <f t="shared" si="15"/>
        <v/>
      </c>
      <c r="K67" s="7" t="str">
        <f t="shared" si="16"/>
        <v/>
      </c>
      <c r="L67" s="7" t="str">
        <f t="shared" si="17"/>
        <v/>
      </c>
      <c r="N67" s="4" t="str">
        <f t="shared" ref="N67:N101" ca="1" si="22">IF(ISBLANK(B67), "", IF(ISBLANK(M67), E67 - (TODAY() - B67), "Closed"))</f>
        <v/>
      </c>
      <c r="O67" s="6"/>
      <c r="P67" s="8" t="str">
        <f t="shared" si="18"/>
        <v/>
      </c>
      <c r="Q67" s="7" t="str">
        <f t="shared" si="19"/>
        <v/>
      </c>
      <c r="R67" s="2" t="e">
        <f t="shared" si="20"/>
        <v>#VALUE!</v>
      </c>
      <c r="S67" s="2" t="e">
        <f t="shared" si="21"/>
        <v>#VALUE!</v>
      </c>
    </row>
    <row r="68" spans="9:19" x14ac:dyDescent="0.25">
      <c r="I68" s="6"/>
      <c r="J68" s="7" t="str">
        <f t="shared" si="15"/>
        <v/>
      </c>
      <c r="K68" s="7" t="str">
        <f t="shared" si="16"/>
        <v/>
      </c>
      <c r="L68" s="7" t="str">
        <f t="shared" si="17"/>
        <v/>
      </c>
      <c r="N68" s="4" t="str">
        <f t="shared" ca="1" si="22"/>
        <v/>
      </c>
      <c r="O68" s="6"/>
      <c r="P68" s="8" t="str">
        <f t="shared" si="18"/>
        <v/>
      </c>
      <c r="Q68" s="7" t="str">
        <f t="shared" si="19"/>
        <v/>
      </c>
      <c r="R68" s="2" t="e">
        <f t="shared" si="20"/>
        <v>#VALUE!</v>
      </c>
      <c r="S68" s="2" t="e">
        <f t="shared" si="21"/>
        <v>#VALUE!</v>
      </c>
    </row>
    <row r="69" spans="9:19" x14ac:dyDescent="0.25">
      <c r="I69" s="6"/>
      <c r="J69" s="7" t="str">
        <f t="shared" si="15"/>
        <v/>
      </c>
      <c r="K69" s="7" t="str">
        <f t="shared" si="16"/>
        <v/>
      </c>
      <c r="L69" s="7" t="str">
        <f t="shared" si="17"/>
        <v/>
      </c>
      <c r="N69" s="4" t="str">
        <f t="shared" ca="1" si="22"/>
        <v/>
      </c>
      <c r="O69" s="6"/>
      <c r="P69" s="8" t="str">
        <f t="shared" si="18"/>
        <v/>
      </c>
      <c r="Q69" s="7" t="str">
        <f t="shared" si="19"/>
        <v/>
      </c>
      <c r="R69" s="2" t="e">
        <f t="shared" si="20"/>
        <v>#VALUE!</v>
      </c>
      <c r="S69" s="2" t="e">
        <f t="shared" si="21"/>
        <v>#VALUE!</v>
      </c>
    </row>
    <row r="70" spans="9:19" x14ac:dyDescent="0.25">
      <c r="I70" s="6"/>
      <c r="J70" s="7" t="str">
        <f t="shared" si="15"/>
        <v/>
      </c>
      <c r="K70" s="7" t="str">
        <f t="shared" si="16"/>
        <v/>
      </c>
      <c r="L70" s="7" t="str">
        <f t="shared" si="17"/>
        <v/>
      </c>
      <c r="N70" s="4" t="str">
        <f t="shared" ca="1" si="22"/>
        <v/>
      </c>
      <c r="O70" s="6"/>
      <c r="P70" s="8" t="str">
        <f t="shared" si="18"/>
        <v/>
      </c>
      <c r="Q70" s="7" t="str">
        <f t="shared" si="19"/>
        <v/>
      </c>
      <c r="R70" s="2" t="e">
        <f t="shared" si="20"/>
        <v>#VALUE!</v>
      </c>
      <c r="S70" s="2" t="e">
        <f t="shared" si="21"/>
        <v>#VALUE!</v>
      </c>
    </row>
    <row r="71" spans="9:19" x14ac:dyDescent="0.25">
      <c r="I71" s="6"/>
      <c r="J71" s="7" t="str">
        <f t="shared" si="15"/>
        <v/>
      </c>
      <c r="K71" s="7" t="str">
        <f t="shared" si="16"/>
        <v/>
      </c>
      <c r="L71" s="7" t="str">
        <f t="shared" si="17"/>
        <v/>
      </c>
      <c r="N71" s="4" t="str">
        <f t="shared" ca="1" si="22"/>
        <v/>
      </c>
      <c r="O71" s="6"/>
      <c r="P71" s="8" t="str">
        <f t="shared" si="18"/>
        <v/>
      </c>
      <c r="Q71" s="7" t="str">
        <f t="shared" si="19"/>
        <v/>
      </c>
      <c r="R71" s="2" t="e">
        <f t="shared" si="20"/>
        <v>#VALUE!</v>
      </c>
      <c r="S71" s="2" t="e">
        <f t="shared" si="21"/>
        <v>#VALUE!</v>
      </c>
    </row>
    <row r="72" spans="9:19" x14ac:dyDescent="0.25">
      <c r="I72" s="6"/>
      <c r="J72" s="7" t="str">
        <f t="shared" si="15"/>
        <v/>
      </c>
      <c r="K72" s="7" t="str">
        <f t="shared" si="16"/>
        <v/>
      </c>
      <c r="L72" s="7" t="str">
        <f t="shared" si="17"/>
        <v/>
      </c>
      <c r="N72" s="4" t="str">
        <f t="shared" ca="1" si="22"/>
        <v/>
      </c>
      <c r="O72" s="6"/>
      <c r="P72" s="8" t="str">
        <f t="shared" si="18"/>
        <v/>
      </c>
      <c r="Q72" s="7" t="str">
        <f t="shared" si="19"/>
        <v/>
      </c>
      <c r="R72" s="2" t="e">
        <f t="shared" si="20"/>
        <v>#VALUE!</v>
      </c>
      <c r="S72" s="2" t="e">
        <f t="shared" si="21"/>
        <v>#VALUE!</v>
      </c>
    </row>
    <row r="73" spans="9:19" x14ac:dyDescent="0.25">
      <c r="I73" s="6"/>
      <c r="J73" s="7" t="str">
        <f t="shared" si="15"/>
        <v/>
      </c>
      <c r="K73" s="7" t="str">
        <f t="shared" si="16"/>
        <v/>
      </c>
      <c r="L73" s="7" t="str">
        <f t="shared" si="17"/>
        <v/>
      </c>
      <c r="N73" s="4" t="str">
        <f t="shared" ca="1" si="22"/>
        <v/>
      </c>
      <c r="O73" s="6"/>
      <c r="P73" s="8" t="str">
        <f t="shared" si="18"/>
        <v/>
      </c>
      <c r="Q73" s="7" t="str">
        <f t="shared" si="19"/>
        <v/>
      </c>
      <c r="R73" s="2" t="e">
        <f t="shared" si="20"/>
        <v>#VALUE!</v>
      </c>
      <c r="S73" s="2" t="e">
        <f t="shared" si="21"/>
        <v>#VALUE!</v>
      </c>
    </row>
    <row r="74" spans="9:19" x14ac:dyDescent="0.25">
      <c r="I74" s="6"/>
      <c r="J74" s="7" t="str">
        <f t="shared" si="15"/>
        <v/>
      </c>
      <c r="K74" s="7" t="str">
        <f t="shared" si="16"/>
        <v/>
      </c>
      <c r="L74" s="7" t="str">
        <f t="shared" si="17"/>
        <v/>
      </c>
      <c r="N74" s="4" t="str">
        <f t="shared" ca="1" si="22"/>
        <v/>
      </c>
      <c r="O74" s="6"/>
      <c r="P74" s="8" t="str">
        <f t="shared" si="18"/>
        <v/>
      </c>
      <c r="Q74" s="7" t="str">
        <f t="shared" si="19"/>
        <v/>
      </c>
      <c r="R74" s="2" t="e">
        <f t="shared" si="20"/>
        <v>#VALUE!</v>
      </c>
      <c r="S74" s="2" t="e">
        <f t="shared" si="21"/>
        <v>#VALUE!</v>
      </c>
    </row>
    <row r="75" spans="9:19" x14ac:dyDescent="0.25">
      <c r="I75" s="6"/>
      <c r="J75" s="7" t="str">
        <f t="shared" si="15"/>
        <v/>
      </c>
      <c r="K75" s="7" t="str">
        <f t="shared" si="16"/>
        <v/>
      </c>
      <c r="L75" s="7" t="str">
        <f t="shared" si="17"/>
        <v/>
      </c>
      <c r="N75" s="4" t="str">
        <f t="shared" ca="1" si="22"/>
        <v/>
      </c>
      <c r="O75" s="6"/>
      <c r="P75" s="8" t="str">
        <f t="shared" si="18"/>
        <v/>
      </c>
      <c r="Q75" s="7" t="str">
        <f t="shared" si="19"/>
        <v/>
      </c>
      <c r="R75" s="2" t="e">
        <f t="shared" si="20"/>
        <v>#VALUE!</v>
      </c>
      <c r="S75" s="2" t="e">
        <f t="shared" si="21"/>
        <v>#VALUE!</v>
      </c>
    </row>
    <row r="76" spans="9:19" x14ac:dyDescent="0.25">
      <c r="I76" s="6"/>
      <c r="J76" s="7" t="str">
        <f t="shared" si="15"/>
        <v/>
      </c>
      <c r="K76" s="7" t="str">
        <f t="shared" si="16"/>
        <v/>
      </c>
      <c r="L76" s="7" t="str">
        <f t="shared" si="17"/>
        <v/>
      </c>
      <c r="N76" s="4" t="str">
        <f t="shared" ca="1" si="22"/>
        <v/>
      </c>
      <c r="O76" s="6"/>
      <c r="P76" s="8" t="str">
        <f t="shared" si="18"/>
        <v/>
      </c>
      <c r="Q76" s="7" t="str">
        <f t="shared" si="19"/>
        <v/>
      </c>
      <c r="R76" s="2" t="e">
        <f t="shared" si="20"/>
        <v>#VALUE!</v>
      </c>
      <c r="S76" s="2" t="e">
        <f t="shared" si="21"/>
        <v>#VALUE!</v>
      </c>
    </row>
    <row r="77" spans="9:19" x14ac:dyDescent="0.25">
      <c r="I77" s="6"/>
      <c r="J77" s="7" t="str">
        <f t="shared" si="15"/>
        <v/>
      </c>
      <c r="K77" s="7" t="str">
        <f t="shared" si="16"/>
        <v/>
      </c>
      <c r="L77" s="7" t="str">
        <f t="shared" si="17"/>
        <v/>
      </c>
      <c r="N77" s="4" t="str">
        <f t="shared" ca="1" si="22"/>
        <v/>
      </c>
      <c r="O77" s="6"/>
      <c r="P77" s="8" t="str">
        <f t="shared" si="18"/>
        <v/>
      </c>
      <c r="Q77" s="7" t="str">
        <f t="shared" si="19"/>
        <v/>
      </c>
      <c r="R77" s="2" t="e">
        <f t="shared" si="20"/>
        <v>#VALUE!</v>
      </c>
      <c r="S77" s="2" t="e">
        <f t="shared" si="21"/>
        <v>#VALUE!</v>
      </c>
    </row>
    <row r="78" spans="9:19" x14ac:dyDescent="0.25">
      <c r="I78" s="6"/>
      <c r="J78" s="7" t="str">
        <f t="shared" si="15"/>
        <v/>
      </c>
      <c r="K78" s="7" t="str">
        <f t="shared" si="16"/>
        <v/>
      </c>
      <c r="L78" s="7" t="str">
        <f t="shared" si="17"/>
        <v/>
      </c>
      <c r="N78" s="4" t="str">
        <f t="shared" ca="1" si="22"/>
        <v/>
      </c>
      <c r="O78" s="6"/>
      <c r="P78" s="8" t="str">
        <f t="shared" si="18"/>
        <v/>
      </c>
      <c r="Q78" s="7" t="str">
        <f t="shared" si="19"/>
        <v/>
      </c>
      <c r="R78" s="2" t="e">
        <f t="shared" si="20"/>
        <v>#VALUE!</v>
      </c>
      <c r="S78" s="2" t="e">
        <f t="shared" si="21"/>
        <v>#VALUE!</v>
      </c>
    </row>
    <row r="79" spans="9:19" x14ac:dyDescent="0.25">
      <c r="I79" s="6"/>
      <c r="J79" s="7" t="str">
        <f t="shared" si="15"/>
        <v/>
      </c>
      <c r="K79" s="7" t="str">
        <f t="shared" si="16"/>
        <v/>
      </c>
      <c r="L79" s="7" t="str">
        <f t="shared" si="17"/>
        <v/>
      </c>
      <c r="N79" s="4" t="str">
        <f t="shared" ca="1" si="22"/>
        <v/>
      </c>
      <c r="O79" s="6"/>
      <c r="P79" s="8" t="str">
        <f t="shared" si="18"/>
        <v/>
      </c>
      <c r="Q79" s="7" t="str">
        <f t="shared" si="19"/>
        <v/>
      </c>
      <c r="R79" s="2" t="e">
        <f t="shared" si="20"/>
        <v>#VALUE!</v>
      </c>
      <c r="S79" s="2" t="e">
        <f t="shared" si="21"/>
        <v>#VALUE!</v>
      </c>
    </row>
    <row r="80" spans="9:19" x14ac:dyDescent="0.25">
      <c r="I80" s="6"/>
      <c r="J80" s="7" t="str">
        <f t="shared" si="15"/>
        <v/>
      </c>
      <c r="K80" s="7" t="str">
        <f t="shared" si="16"/>
        <v/>
      </c>
      <c r="L80" s="7" t="str">
        <f t="shared" si="17"/>
        <v/>
      </c>
      <c r="N80" s="4" t="str">
        <f t="shared" ca="1" si="22"/>
        <v/>
      </c>
      <c r="O80" s="6"/>
      <c r="P80" s="8" t="str">
        <f t="shared" si="18"/>
        <v/>
      </c>
      <c r="Q80" s="7" t="str">
        <f t="shared" si="19"/>
        <v/>
      </c>
      <c r="R80" s="2" t="e">
        <f t="shared" si="20"/>
        <v>#VALUE!</v>
      </c>
      <c r="S80" s="2" t="e">
        <f t="shared" si="21"/>
        <v>#VALUE!</v>
      </c>
    </row>
    <row r="81" spans="9:19" x14ac:dyDescent="0.25">
      <c r="I81" s="6"/>
      <c r="J81" s="7" t="str">
        <f t="shared" si="15"/>
        <v/>
      </c>
      <c r="K81" s="7" t="str">
        <f t="shared" si="16"/>
        <v/>
      </c>
      <c r="L81" s="7" t="str">
        <f t="shared" si="17"/>
        <v/>
      </c>
      <c r="N81" s="4" t="str">
        <f t="shared" ca="1" si="22"/>
        <v/>
      </c>
      <c r="O81" s="6"/>
      <c r="P81" s="8" t="str">
        <f t="shared" si="18"/>
        <v/>
      </c>
      <c r="Q81" s="7" t="str">
        <f t="shared" si="19"/>
        <v/>
      </c>
      <c r="R81" s="2" t="e">
        <f t="shared" si="20"/>
        <v>#VALUE!</v>
      </c>
      <c r="S81" s="2" t="e">
        <f t="shared" si="21"/>
        <v>#VALUE!</v>
      </c>
    </row>
    <row r="82" spans="9:19" x14ac:dyDescent="0.25">
      <c r="I82" s="6"/>
      <c r="J82" s="7" t="str">
        <f t="shared" si="15"/>
        <v/>
      </c>
      <c r="K82" s="7" t="str">
        <f t="shared" si="16"/>
        <v/>
      </c>
      <c r="L82" s="7" t="str">
        <f t="shared" si="17"/>
        <v/>
      </c>
      <c r="N82" s="4" t="str">
        <f t="shared" ca="1" si="22"/>
        <v/>
      </c>
      <c r="O82" s="6"/>
      <c r="P82" s="8" t="str">
        <f t="shared" si="18"/>
        <v/>
      </c>
      <c r="Q82" s="7" t="str">
        <f t="shared" si="19"/>
        <v/>
      </c>
      <c r="R82" s="2" t="e">
        <f t="shared" si="20"/>
        <v>#VALUE!</v>
      </c>
      <c r="S82" s="2" t="e">
        <f t="shared" si="21"/>
        <v>#VALUE!</v>
      </c>
    </row>
    <row r="83" spans="9:19" x14ac:dyDescent="0.25">
      <c r="I83" s="6"/>
      <c r="J83" s="7" t="str">
        <f t="shared" si="15"/>
        <v/>
      </c>
      <c r="K83" s="7" t="str">
        <f t="shared" si="16"/>
        <v/>
      </c>
      <c r="L83" s="7" t="str">
        <f t="shared" si="17"/>
        <v/>
      </c>
      <c r="N83" s="4" t="str">
        <f t="shared" ca="1" si="22"/>
        <v/>
      </c>
      <c r="O83" s="6"/>
      <c r="P83" s="8" t="str">
        <f t="shared" si="18"/>
        <v/>
      </c>
      <c r="Q83" s="7" t="str">
        <f t="shared" si="19"/>
        <v/>
      </c>
      <c r="R83" s="2" t="e">
        <f t="shared" si="20"/>
        <v>#VALUE!</v>
      </c>
      <c r="S83" s="2" t="e">
        <f t="shared" si="21"/>
        <v>#VALUE!</v>
      </c>
    </row>
    <row r="84" spans="9:19" x14ac:dyDescent="0.25">
      <c r="I84" s="6"/>
      <c r="J84" s="7" t="str">
        <f t="shared" si="15"/>
        <v/>
      </c>
      <c r="K84" s="7" t="str">
        <f t="shared" si="16"/>
        <v/>
      </c>
      <c r="L84" s="7" t="str">
        <f t="shared" si="17"/>
        <v/>
      </c>
      <c r="N84" s="4" t="str">
        <f t="shared" ca="1" si="22"/>
        <v/>
      </c>
      <c r="O84" s="6"/>
      <c r="P84" s="8" t="str">
        <f t="shared" si="18"/>
        <v/>
      </c>
      <c r="Q84" s="7" t="str">
        <f t="shared" si="19"/>
        <v/>
      </c>
      <c r="R84" s="2" t="e">
        <f t="shared" si="20"/>
        <v>#VALUE!</v>
      </c>
      <c r="S84" s="2" t="e">
        <f t="shared" si="21"/>
        <v>#VALUE!</v>
      </c>
    </row>
    <row r="85" spans="9:19" x14ac:dyDescent="0.25">
      <c r="I85" s="6"/>
      <c r="J85" s="7" t="str">
        <f t="shared" si="15"/>
        <v/>
      </c>
      <c r="K85" s="7" t="str">
        <f t="shared" si="16"/>
        <v/>
      </c>
      <c r="L85" s="7" t="str">
        <f t="shared" si="17"/>
        <v/>
      </c>
      <c r="N85" s="4" t="str">
        <f t="shared" ca="1" si="22"/>
        <v/>
      </c>
      <c r="O85" s="6"/>
      <c r="P85" s="8" t="str">
        <f t="shared" si="18"/>
        <v/>
      </c>
      <c r="Q85" s="7" t="str">
        <f t="shared" si="19"/>
        <v/>
      </c>
      <c r="R85" s="2" t="e">
        <f t="shared" si="20"/>
        <v>#VALUE!</v>
      </c>
      <c r="S85" s="2" t="e">
        <f t="shared" si="21"/>
        <v>#VALUE!</v>
      </c>
    </row>
    <row r="86" spans="9:19" x14ac:dyDescent="0.25">
      <c r="I86" s="6"/>
      <c r="J86" s="7" t="str">
        <f t="shared" si="15"/>
        <v/>
      </c>
      <c r="K86" s="7" t="str">
        <f t="shared" si="16"/>
        <v/>
      </c>
      <c r="L86" s="7" t="str">
        <f t="shared" si="17"/>
        <v/>
      </c>
      <c r="N86" s="4" t="str">
        <f t="shared" ca="1" si="22"/>
        <v/>
      </c>
      <c r="O86" s="6"/>
      <c r="P86" s="8" t="str">
        <f t="shared" si="18"/>
        <v/>
      </c>
      <c r="Q86" s="7" t="str">
        <f t="shared" si="19"/>
        <v/>
      </c>
      <c r="R86" s="2" t="e">
        <f t="shared" si="20"/>
        <v>#VALUE!</v>
      </c>
      <c r="S86" s="2" t="e">
        <f t="shared" si="21"/>
        <v>#VALUE!</v>
      </c>
    </row>
    <row r="87" spans="9:19" x14ac:dyDescent="0.25">
      <c r="I87" s="6"/>
      <c r="J87" s="7" t="str">
        <f t="shared" si="15"/>
        <v/>
      </c>
      <c r="K87" s="7" t="str">
        <f t="shared" si="16"/>
        <v/>
      </c>
      <c r="L87" s="7" t="str">
        <f t="shared" si="17"/>
        <v/>
      </c>
      <c r="N87" s="4" t="str">
        <f t="shared" ca="1" si="22"/>
        <v/>
      </c>
      <c r="O87" s="6"/>
      <c r="P87" s="8" t="str">
        <f t="shared" si="18"/>
        <v/>
      </c>
      <c r="Q87" s="7" t="str">
        <f t="shared" si="19"/>
        <v/>
      </c>
      <c r="R87" s="2" t="e">
        <f t="shared" si="20"/>
        <v>#VALUE!</v>
      </c>
      <c r="S87" s="2" t="e">
        <f t="shared" si="21"/>
        <v>#VALUE!</v>
      </c>
    </row>
    <row r="88" spans="9:19" x14ac:dyDescent="0.25">
      <c r="I88" s="6"/>
      <c r="J88" s="7" t="str">
        <f t="shared" si="15"/>
        <v/>
      </c>
      <c r="K88" s="7" t="str">
        <f t="shared" si="16"/>
        <v/>
      </c>
      <c r="L88" s="7" t="str">
        <f t="shared" si="17"/>
        <v/>
      </c>
      <c r="N88" s="4" t="str">
        <f t="shared" ca="1" si="22"/>
        <v/>
      </c>
      <c r="O88" s="6"/>
      <c r="P88" s="8" t="str">
        <f t="shared" si="18"/>
        <v/>
      </c>
      <c r="Q88" s="7" t="str">
        <f t="shared" si="19"/>
        <v/>
      </c>
      <c r="R88" s="2" t="e">
        <f t="shared" si="20"/>
        <v>#VALUE!</v>
      </c>
      <c r="S88" s="2" t="e">
        <f t="shared" si="21"/>
        <v>#VALUE!</v>
      </c>
    </row>
    <row r="89" spans="9:19" x14ac:dyDescent="0.25">
      <c r="I89" s="6"/>
      <c r="J89" s="7" t="str">
        <f t="shared" si="15"/>
        <v/>
      </c>
      <c r="K89" s="7" t="str">
        <f t="shared" si="16"/>
        <v/>
      </c>
      <c r="L89" s="7" t="str">
        <f t="shared" si="17"/>
        <v/>
      </c>
      <c r="N89" s="4" t="str">
        <f t="shared" ca="1" si="22"/>
        <v/>
      </c>
      <c r="O89" s="6"/>
      <c r="P89" s="8" t="str">
        <f t="shared" si="18"/>
        <v/>
      </c>
      <c r="Q89" s="7" t="str">
        <f t="shared" si="19"/>
        <v/>
      </c>
      <c r="R89" s="2" t="e">
        <f t="shared" si="20"/>
        <v>#VALUE!</v>
      </c>
      <c r="S89" s="2" t="e">
        <f t="shared" si="21"/>
        <v>#VALUE!</v>
      </c>
    </row>
    <row r="90" spans="9:19" x14ac:dyDescent="0.25">
      <c r="I90" s="6"/>
      <c r="J90" s="7" t="str">
        <f t="shared" si="15"/>
        <v/>
      </c>
      <c r="K90" s="7" t="str">
        <f t="shared" si="16"/>
        <v/>
      </c>
      <c r="L90" s="7" t="str">
        <f t="shared" si="17"/>
        <v/>
      </c>
      <c r="N90" s="4" t="str">
        <f t="shared" ca="1" si="22"/>
        <v/>
      </c>
      <c r="O90" s="6"/>
      <c r="P90" s="8" t="str">
        <f t="shared" si="18"/>
        <v/>
      </c>
      <c r="Q90" s="7" t="str">
        <f t="shared" si="19"/>
        <v/>
      </c>
      <c r="R90" s="2" t="e">
        <f t="shared" si="20"/>
        <v>#VALUE!</v>
      </c>
      <c r="S90" s="2" t="e">
        <f t="shared" si="21"/>
        <v>#VALUE!</v>
      </c>
    </row>
    <row r="91" spans="9:19" x14ac:dyDescent="0.25">
      <c r="I91" s="6"/>
      <c r="J91" s="7" t="str">
        <f t="shared" si="15"/>
        <v/>
      </c>
      <c r="K91" s="7" t="str">
        <f t="shared" si="16"/>
        <v/>
      </c>
      <c r="L91" s="7" t="str">
        <f t="shared" si="17"/>
        <v/>
      </c>
      <c r="N91" s="4" t="str">
        <f t="shared" ca="1" si="22"/>
        <v/>
      </c>
      <c r="O91" s="6"/>
      <c r="P91" s="8" t="str">
        <f t="shared" si="18"/>
        <v/>
      </c>
      <c r="Q91" s="7" t="str">
        <f t="shared" si="19"/>
        <v/>
      </c>
      <c r="R91" s="2" t="e">
        <f t="shared" si="20"/>
        <v>#VALUE!</v>
      </c>
      <c r="S91" s="2" t="e">
        <f t="shared" si="21"/>
        <v>#VALUE!</v>
      </c>
    </row>
    <row r="92" spans="9:19" x14ac:dyDescent="0.25">
      <c r="I92" s="6"/>
      <c r="J92" s="7" t="str">
        <f t="shared" si="15"/>
        <v/>
      </c>
      <c r="K92" s="7" t="str">
        <f t="shared" si="16"/>
        <v/>
      </c>
      <c r="L92" s="7" t="str">
        <f t="shared" si="17"/>
        <v/>
      </c>
      <c r="N92" s="4" t="str">
        <f t="shared" ca="1" si="22"/>
        <v/>
      </c>
      <c r="O92" s="6"/>
      <c r="P92" s="8" t="str">
        <f t="shared" si="18"/>
        <v/>
      </c>
      <c r="Q92" s="7" t="str">
        <f t="shared" si="19"/>
        <v/>
      </c>
      <c r="R92" s="2" t="e">
        <f t="shared" si="20"/>
        <v>#VALUE!</v>
      </c>
      <c r="S92" s="2" t="e">
        <f t="shared" si="21"/>
        <v>#VALUE!</v>
      </c>
    </row>
    <row r="93" spans="9:19" x14ac:dyDescent="0.25">
      <c r="I93" s="6"/>
      <c r="J93" s="7" t="str">
        <f t="shared" si="15"/>
        <v/>
      </c>
      <c r="K93" s="7" t="str">
        <f t="shared" si="16"/>
        <v/>
      </c>
      <c r="L93" s="7" t="str">
        <f t="shared" si="17"/>
        <v/>
      </c>
      <c r="N93" s="4" t="str">
        <f t="shared" ca="1" si="22"/>
        <v/>
      </c>
      <c r="O93" s="6"/>
      <c r="P93" s="8" t="str">
        <f t="shared" si="18"/>
        <v/>
      </c>
      <c r="Q93" s="7" t="str">
        <f t="shared" si="19"/>
        <v/>
      </c>
      <c r="R93" s="2" t="e">
        <f t="shared" si="20"/>
        <v>#VALUE!</v>
      </c>
      <c r="S93" s="2" t="e">
        <f t="shared" si="21"/>
        <v>#VALUE!</v>
      </c>
    </row>
    <row r="94" spans="9:19" x14ac:dyDescent="0.25">
      <c r="I94" s="6"/>
      <c r="J94" s="7" t="str">
        <f t="shared" si="15"/>
        <v/>
      </c>
      <c r="K94" s="7" t="str">
        <f t="shared" si="16"/>
        <v/>
      </c>
      <c r="L94" s="7" t="str">
        <f t="shared" si="17"/>
        <v/>
      </c>
      <c r="N94" s="4" t="str">
        <f t="shared" ca="1" si="22"/>
        <v/>
      </c>
      <c r="O94" s="6"/>
      <c r="P94" s="8" t="str">
        <f t="shared" si="18"/>
        <v/>
      </c>
      <c r="Q94" s="7" t="str">
        <f t="shared" si="19"/>
        <v/>
      </c>
      <c r="R94" s="2" t="e">
        <f t="shared" si="20"/>
        <v>#VALUE!</v>
      </c>
      <c r="S94" s="2" t="e">
        <f t="shared" si="21"/>
        <v>#VALUE!</v>
      </c>
    </row>
    <row r="95" spans="9:19" x14ac:dyDescent="0.25">
      <c r="I95" s="6"/>
      <c r="J95" s="7" t="str">
        <f t="shared" si="15"/>
        <v/>
      </c>
      <c r="K95" s="7" t="str">
        <f t="shared" si="16"/>
        <v/>
      </c>
      <c r="L95" s="7" t="str">
        <f t="shared" si="17"/>
        <v/>
      </c>
      <c r="N95" s="4" t="str">
        <f t="shared" ca="1" si="22"/>
        <v/>
      </c>
      <c r="O95" s="6"/>
      <c r="P95" s="8" t="str">
        <f t="shared" si="18"/>
        <v/>
      </c>
      <c r="Q95" s="7" t="str">
        <f t="shared" si="19"/>
        <v/>
      </c>
      <c r="R95" s="2" t="e">
        <f t="shared" si="20"/>
        <v>#VALUE!</v>
      </c>
      <c r="S95" s="2" t="e">
        <f t="shared" si="21"/>
        <v>#VALUE!</v>
      </c>
    </row>
    <row r="96" spans="9:19" x14ac:dyDescent="0.25">
      <c r="I96" s="6"/>
      <c r="J96" s="7" t="str">
        <f t="shared" si="15"/>
        <v/>
      </c>
      <c r="K96" s="7" t="str">
        <f t="shared" si="16"/>
        <v/>
      </c>
      <c r="L96" s="7" t="str">
        <f t="shared" si="17"/>
        <v/>
      </c>
      <c r="N96" s="4" t="str">
        <f t="shared" ca="1" si="22"/>
        <v/>
      </c>
      <c r="O96" s="6"/>
      <c r="P96" s="8" t="str">
        <f t="shared" si="18"/>
        <v/>
      </c>
      <c r="Q96" s="7" t="str">
        <f t="shared" si="19"/>
        <v/>
      </c>
      <c r="R96" s="2" t="e">
        <f t="shared" si="20"/>
        <v>#VALUE!</v>
      </c>
      <c r="S96" s="2" t="e">
        <f t="shared" si="21"/>
        <v>#VALUE!</v>
      </c>
    </row>
    <row r="97" spans="9:19" x14ac:dyDescent="0.25">
      <c r="I97" s="6"/>
      <c r="J97" s="7" t="str">
        <f t="shared" si="15"/>
        <v/>
      </c>
      <c r="K97" s="7" t="str">
        <f t="shared" si="16"/>
        <v/>
      </c>
      <c r="L97" s="7" t="str">
        <f t="shared" si="17"/>
        <v/>
      </c>
      <c r="N97" s="4" t="str">
        <f t="shared" ca="1" si="22"/>
        <v/>
      </c>
      <c r="O97" s="6"/>
      <c r="P97" s="8" t="str">
        <f t="shared" si="18"/>
        <v/>
      </c>
      <c r="Q97" s="7" t="str">
        <f t="shared" si="19"/>
        <v/>
      </c>
      <c r="R97" s="2" t="e">
        <f t="shared" si="20"/>
        <v>#VALUE!</v>
      </c>
      <c r="S97" s="2" t="e">
        <f t="shared" si="21"/>
        <v>#VALUE!</v>
      </c>
    </row>
    <row r="98" spans="9:19" x14ac:dyDescent="0.25">
      <c r="I98" s="6"/>
      <c r="J98" s="7" t="str">
        <f t="shared" si="15"/>
        <v/>
      </c>
      <c r="K98" s="7" t="str">
        <f t="shared" si="16"/>
        <v/>
      </c>
      <c r="L98" s="7" t="str">
        <f t="shared" si="17"/>
        <v/>
      </c>
      <c r="N98" s="4" t="str">
        <f t="shared" ca="1" si="22"/>
        <v/>
      </c>
      <c r="O98" s="6"/>
      <c r="P98" s="8" t="str">
        <f t="shared" si="18"/>
        <v/>
      </c>
      <c r="Q98" s="7" t="str">
        <f t="shared" si="19"/>
        <v/>
      </c>
      <c r="R98" s="2" t="e">
        <f t="shared" si="20"/>
        <v>#VALUE!</v>
      </c>
      <c r="S98" s="2" t="e">
        <f t="shared" si="21"/>
        <v>#VALUE!</v>
      </c>
    </row>
    <row r="99" spans="9:19" x14ac:dyDescent="0.25">
      <c r="I99" s="6"/>
      <c r="J99" s="7" t="str">
        <f t="shared" si="15"/>
        <v/>
      </c>
      <c r="K99" s="7" t="str">
        <f t="shared" si="16"/>
        <v/>
      </c>
      <c r="L99" s="7" t="str">
        <f t="shared" si="17"/>
        <v/>
      </c>
      <c r="N99" s="4" t="str">
        <f t="shared" ca="1" si="22"/>
        <v/>
      </c>
      <c r="O99" s="6"/>
      <c r="P99" s="8" t="str">
        <f t="shared" si="18"/>
        <v/>
      </c>
      <c r="Q99" s="7" t="str">
        <f t="shared" si="19"/>
        <v/>
      </c>
      <c r="R99" s="2" t="e">
        <f t="shared" si="20"/>
        <v>#VALUE!</v>
      </c>
      <c r="S99" s="2" t="e">
        <f t="shared" si="21"/>
        <v>#VALUE!</v>
      </c>
    </row>
    <row r="100" spans="9:19" x14ac:dyDescent="0.25">
      <c r="I100" s="6"/>
      <c r="J100" s="7" t="str">
        <f t="shared" si="15"/>
        <v/>
      </c>
      <c r="K100" s="7" t="str">
        <f t="shared" si="16"/>
        <v/>
      </c>
      <c r="L100" s="7" t="str">
        <f t="shared" si="17"/>
        <v/>
      </c>
      <c r="N100" s="4" t="str">
        <f t="shared" ca="1" si="22"/>
        <v/>
      </c>
      <c r="O100" s="6"/>
      <c r="P100" s="8" t="str">
        <f t="shared" si="18"/>
        <v/>
      </c>
      <c r="Q100" s="7" t="str">
        <f t="shared" si="19"/>
        <v/>
      </c>
      <c r="R100" s="2" t="e">
        <f t="shared" si="20"/>
        <v>#VALUE!</v>
      </c>
      <c r="S100" s="2" t="e">
        <f t="shared" si="21"/>
        <v>#VALUE!</v>
      </c>
    </row>
    <row r="101" spans="9:19" x14ac:dyDescent="0.25">
      <c r="I101" s="6"/>
      <c r="J101" s="7" t="str">
        <f t="shared" si="15"/>
        <v/>
      </c>
      <c r="K101" s="7" t="str">
        <f t="shared" si="16"/>
        <v/>
      </c>
      <c r="L101" s="7" t="str">
        <f t="shared" si="17"/>
        <v/>
      </c>
      <c r="N101" s="4" t="str">
        <f t="shared" ca="1" si="22"/>
        <v/>
      </c>
      <c r="O101" s="6"/>
      <c r="P101" s="8" t="str">
        <f t="shared" si="18"/>
        <v/>
      </c>
      <c r="Q101" s="7" t="str">
        <f t="shared" si="19"/>
        <v/>
      </c>
      <c r="R101" s="2" t="e">
        <f t="shared" si="20"/>
        <v>#VALUE!</v>
      </c>
      <c r="S101" s="2" t="e">
        <f t="shared" si="21"/>
        <v>#VALUE!</v>
      </c>
    </row>
  </sheetData>
  <phoneticPr fontId="2" type="noConversion"/>
  <conditionalFormatting sqref="N2:N101">
    <cfRule type="expression" dxfId="1" priority="1">
      <formula>AND(N2&lt;&gt;"", ISNUMBER(N2), N2&lt;(E2/2))</formula>
    </cfRule>
    <cfRule type="expression" dxfId="0" priority="2">
      <formula>AND(N2&lt;&gt;"", ISNUMBER(N2), N2&gt;=(E2/2))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</cp:lastModifiedBy>
  <dcterms:created xsi:type="dcterms:W3CDTF">2026-03-24T00:14:38Z</dcterms:created>
  <dcterms:modified xsi:type="dcterms:W3CDTF">2026-04-25T04:50:21Z</dcterms:modified>
</cp:coreProperties>
</file>