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nca\Desktop\Desktop HP Envy x360 al 22Abr24\Docs Manuel\IBKR_Options\"/>
    </mc:Choice>
  </mc:AlternateContent>
  <xr:revisionPtr revIDLastSave="0" documentId="13_ncr:1_{C918802E-6FAE-4266-9C10-060711C3D3C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Options Ledger 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1" i="1" l="1"/>
  <c r="T101" i="1" s="1"/>
  <c r="U101" i="1" s="1"/>
  <c r="R101" i="1"/>
  <c r="O101" i="1"/>
  <c r="M101" i="1"/>
  <c r="L101" i="1"/>
  <c r="K101" i="1"/>
  <c r="T100" i="1"/>
  <c r="U100" i="1" s="1"/>
  <c r="S100" i="1"/>
  <c r="R100" i="1"/>
  <c r="O100" i="1"/>
  <c r="M100" i="1"/>
  <c r="L100" i="1"/>
  <c r="K100" i="1"/>
  <c r="S99" i="1"/>
  <c r="T99" i="1" s="1"/>
  <c r="U99" i="1" s="1"/>
  <c r="R99" i="1"/>
  <c r="O99" i="1"/>
  <c r="M99" i="1"/>
  <c r="L99" i="1"/>
  <c r="K99" i="1"/>
  <c r="U98" i="1"/>
  <c r="T98" i="1"/>
  <c r="S98" i="1"/>
  <c r="R98" i="1"/>
  <c r="O98" i="1"/>
  <c r="M98" i="1"/>
  <c r="L98" i="1"/>
  <c r="K98" i="1"/>
  <c r="S97" i="1"/>
  <c r="T97" i="1" s="1"/>
  <c r="U97" i="1" s="1"/>
  <c r="R97" i="1"/>
  <c r="O97" i="1"/>
  <c r="M97" i="1"/>
  <c r="L97" i="1"/>
  <c r="K97" i="1"/>
  <c r="U96" i="1"/>
  <c r="T96" i="1"/>
  <c r="S96" i="1"/>
  <c r="R96" i="1"/>
  <c r="O96" i="1"/>
  <c r="M96" i="1"/>
  <c r="L96" i="1"/>
  <c r="K96" i="1"/>
  <c r="S95" i="1"/>
  <c r="T95" i="1" s="1"/>
  <c r="U95" i="1" s="1"/>
  <c r="R95" i="1"/>
  <c r="O95" i="1"/>
  <c r="M95" i="1"/>
  <c r="L95" i="1"/>
  <c r="K95" i="1"/>
  <c r="U94" i="1"/>
  <c r="T94" i="1"/>
  <c r="S94" i="1"/>
  <c r="R94" i="1"/>
  <c r="O94" i="1"/>
  <c r="M94" i="1"/>
  <c r="L94" i="1"/>
  <c r="K94" i="1"/>
  <c r="S93" i="1"/>
  <c r="T93" i="1" s="1"/>
  <c r="U93" i="1" s="1"/>
  <c r="R93" i="1"/>
  <c r="O93" i="1"/>
  <c r="M93" i="1"/>
  <c r="L93" i="1"/>
  <c r="K93" i="1"/>
  <c r="U92" i="1"/>
  <c r="T92" i="1"/>
  <c r="S92" i="1"/>
  <c r="R92" i="1"/>
  <c r="O92" i="1"/>
  <c r="M92" i="1"/>
  <c r="L92" i="1"/>
  <c r="K92" i="1"/>
  <c r="S91" i="1"/>
  <c r="T91" i="1" s="1"/>
  <c r="U91" i="1" s="1"/>
  <c r="R91" i="1"/>
  <c r="O91" i="1"/>
  <c r="M91" i="1"/>
  <c r="L91" i="1"/>
  <c r="K91" i="1"/>
  <c r="U90" i="1"/>
  <c r="T90" i="1"/>
  <c r="S90" i="1"/>
  <c r="R90" i="1"/>
  <c r="O90" i="1"/>
  <c r="M90" i="1"/>
  <c r="L90" i="1"/>
  <c r="K90" i="1"/>
  <c r="S89" i="1"/>
  <c r="T89" i="1" s="1"/>
  <c r="U89" i="1" s="1"/>
  <c r="R89" i="1"/>
  <c r="O89" i="1"/>
  <c r="M89" i="1"/>
  <c r="L89" i="1"/>
  <c r="K89" i="1"/>
  <c r="U88" i="1"/>
  <c r="T88" i="1"/>
  <c r="S88" i="1"/>
  <c r="R88" i="1"/>
  <c r="O88" i="1"/>
  <c r="M88" i="1"/>
  <c r="L88" i="1"/>
  <c r="K88" i="1"/>
  <c r="S87" i="1"/>
  <c r="T87" i="1" s="1"/>
  <c r="U87" i="1" s="1"/>
  <c r="R87" i="1"/>
  <c r="O87" i="1"/>
  <c r="M87" i="1"/>
  <c r="L87" i="1"/>
  <c r="K87" i="1"/>
  <c r="U86" i="1"/>
  <c r="T86" i="1"/>
  <c r="S86" i="1"/>
  <c r="R86" i="1"/>
  <c r="O86" i="1"/>
  <c r="M86" i="1"/>
  <c r="L86" i="1"/>
  <c r="K86" i="1"/>
  <c r="S85" i="1"/>
  <c r="T85" i="1" s="1"/>
  <c r="U85" i="1" s="1"/>
  <c r="R85" i="1"/>
  <c r="O85" i="1"/>
  <c r="M85" i="1"/>
  <c r="L85" i="1"/>
  <c r="K85" i="1"/>
  <c r="U84" i="1"/>
  <c r="T84" i="1"/>
  <c r="S84" i="1"/>
  <c r="R84" i="1"/>
  <c r="O84" i="1"/>
  <c r="M84" i="1"/>
  <c r="L84" i="1"/>
  <c r="K84" i="1"/>
  <c r="S83" i="1"/>
  <c r="T83" i="1" s="1"/>
  <c r="U83" i="1" s="1"/>
  <c r="R83" i="1"/>
  <c r="O83" i="1"/>
  <c r="M83" i="1"/>
  <c r="L83" i="1"/>
  <c r="K83" i="1"/>
  <c r="U82" i="1"/>
  <c r="T82" i="1"/>
  <c r="S82" i="1"/>
  <c r="R82" i="1"/>
  <c r="O82" i="1"/>
  <c r="M82" i="1"/>
  <c r="L82" i="1"/>
  <c r="K82" i="1"/>
  <c r="S81" i="1"/>
  <c r="T81" i="1" s="1"/>
  <c r="U81" i="1" s="1"/>
  <c r="R81" i="1"/>
  <c r="O81" i="1"/>
  <c r="M81" i="1"/>
  <c r="L81" i="1"/>
  <c r="K81" i="1"/>
  <c r="U80" i="1"/>
  <c r="T80" i="1"/>
  <c r="S80" i="1"/>
  <c r="R80" i="1"/>
  <c r="O80" i="1"/>
  <c r="M80" i="1"/>
  <c r="L80" i="1"/>
  <c r="K80" i="1"/>
  <c r="S79" i="1"/>
  <c r="T79" i="1" s="1"/>
  <c r="U79" i="1" s="1"/>
  <c r="R79" i="1"/>
  <c r="O79" i="1"/>
  <c r="M79" i="1"/>
  <c r="L79" i="1"/>
  <c r="K79" i="1"/>
  <c r="U78" i="1"/>
  <c r="T78" i="1"/>
  <c r="S78" i="1"/>
  <c r="R78" i="1"/>
  <c r="O78" i="1"/>
  <c r="M78" i="1"/>
  <c r="L78" i="1"/>
  <c r="K78" i="1"/>
  <c r="S77" i="1"/>
  <c r="T77" i="1" s="1"/>
  <c r="U77" i="1" s="1"/>
  <c r="R77" i="1"/>
  <c r="O77" i="1"/>
  <c r="M77" i="1"/>
  <c r="L77" i="1"/>
  <c r="K77" i="1"/>
  <c r="U76" i="1"/>
  <c r="T76" i="1"/>
  <c r="S76" i="1"/>
  <c r="R76" i="1"/>
  <c r="O76" i="1"/>
  <c r="M76" i="1"/>
  <c r="L76" i="1"/>
  <c r="K76" i="1"/>
  <c r="S75" i="1"/>
  <c r="T75" i="1" s="1"/>
  <c r="U75" i="1" s="1"/>
  <c r="R75" i="1"/>
  <c r="O75" i="1"/>
  <c r="M75" i="1"/>
  <c r="L75" i="1"/>
  <c r="K75" i="1"/>
  <c r="U74" i="1"/>
  <c r="T74" i="1"/>
  <c r="S74" i="1"/>
  <c r="R74" i="1"/>
  <c r="O74" i="1"/>
  <c r="M74" i="1"/>
  <c r="L74" i="1"/>
  <c r="K74" i="1"/>
  <c r="S73" i="1"/>
  <c r="T73" i="1" s="1"/>
  <c r="U73" i="1" s="1"/>
  <c r="R73" i="1"/>
  <c r="O73" i="1"/>
  <c r="M73" i="1"/>
  <c r="L73" i="1"/>
  <c r="K73" i="1"/>
  <c r="U72" i="1"/>
  <c r="T72" i="1"/>
  <c r="S72" i="1"/>
  <c r="R72" i="1"/>
  <c r="O72" i="1"/>
  <c r="M72" i="1"/>
  <c r="L72" i="1"/>
  <c r="K72" i="1"/>
  <c r="S71" i="1"/>
  <c r="T71" i="1" s="1"/>
  <c r="U71" i="1" s="1"/>
  <c r="R71" i="1"/>
  <c r="O71" i="1"/>
  <c r="M71" i="1"/>
  <c r="L71" i="1"/>
  <c r="K71" i="1"/>
  <c r="U70" i="1"/>
  <c r="T70" i="1"/>
  <c r="S70" i="1"/>
  <c r="R70" i="1"/>
  <c r="O70" i="1"/>
  <c r="M70" i="1"/>
  <c r="L70" i="1"/>
  <c r="K70" i="1"/>
  <c r="S69" i="1"/>
  <c r="T69" i="1" s="1"/>
  <c r="U69" i="1" s="1"/>
  <c r="R69" i="1"/>
  <c r="O69" i="1"/>
  <c r="M69" i="1"/>
  <c r="L69" i="1"/>
  <c r="K69" i="1"/>
  <c r="U68" i="1"/>
  <c r="T68" i="1"/>
  <c r="S68" i="1"/>
  <c r="R68" i="1"/>
  <c r="O68" i="1"/>
  <c r="M68" i="1"/>
  <c r="L68" i="1"/>
  <c r="K68" i="1"/>
  <c r="S67" i="1"/>
  <c r="T67" i="1" s="1"/>
  <c r="U67" i="1" s="1"/>
  <c r="R67" i="1"/>
  <c r="O67" i="1"/>
  <c r="M67" i="1"/>
  <c r="L67" i="1"/>
  <c r="K67" i="1"/>
  <c r="U66" i="1"/>
  <c r="T66" i="1"/>
  <c r="S66" i="1"/>
  <c r="R66" i="1"/>
  <c r="O66" i="1"/>
  <c r="M66" i="1"/>
  <c r="L66" i="1"/>
  <c r="K66" i="1"/>
  <c r="S65" i="1"/>
  <c r="T65" i="1" s="1"/>
  <c r="U65" i="1" s="1"/>
  <c r="R65" i="1"/>
  <c r="O65" i="1"/>
  <c r="M65" i="1"/>
  <c r="L65" i="1"/>
  <c r="K65" i="1"/>
  <c r="U64" i="1"/>
  <c r="T64" i="1"/>
  <c r="S64" i="1"/>
  <c r="R64" i="1"/>
  <c r="O64" i="1"/>
  <c r="M64" i="1"/>
  <c r="L64" i="1"/>
  <c r="K64" i="1"/>
  <c r="S63" i="1"/>
  <c r="T63" i="1" s="1"/>
  <c r="U63" i="1" s="1"/>
  <c r="R63" i="1"/>
  <c r="O63" i="1"/>
  <c r="M63" i="1"/>
  <c r="L63" i="1"/>
  <c r="K63" i="1"/>
  <c r="U62" i="1"/>
  <c r="T62" i="1"/>
  <c r="S62" i="1"/>
  <c r="R62" i="1"/>
  <c r="O62" i="1"/>
  <c r="M62" i="1"/>
  <c r="L62" i="1"/>
  <c r="K62" i="1"/>
  <c r="S61" i="1"/>
  <c r="T61" i="1" s="1"/>
  <c r="U61" i="1" s="1"/>
  <c r="R61" i="1"/>
  <c r="O61" i="1"/>
  <c r="M61" i="1"/>
  <c r="L61" i="1"/>
  <c r="K61" i="1"/>
  <c r="U60" i="1"/>
  <c r="T60" i="1"/>
  <c r="S60" i="1"/>
  <c r="R60" i="1"/>
  <c r="O60" i="1"/>
  <c r="M60" i="1"/>
  <c r="L60" i="1"/>
  <c r="K60" i="1"/>
  <c r="S59" i="1"/>
  <c r="T59" i="1" s="1"/>
  <c r="U59" i="1" s="1"/>
  <c r="R59" i="1"/>
  <c r="O59" i="1"/>
  <c r="M59" i="1"/>
  <c r="L59" i="1"/>
  <c r="K59" i="1"/>
  <c r="U58" i="1"/>
  <c r="T58" i="1"/>
  <c r="S58" i="1"/>
  <c r="R58" i="1"/>
  <c r="O58" i="1"/>
  <c r="M58" i="1"/>
  <c r="L58" i="1"/>
  <c r="K58" i="1"/>
  <c r="S57" i="1"/>
  <c r="T57" i="1" s="1"/>
  <c r="U57" i="1" s="1"/>
  <c r="R57" i="1"/>
  <c r="O57" i="1"/>
  <c r="M57" i="1"/>
  <c r="L57" i="1"/>
  <c r="K57" i="1"/>
  <c r="U56" i="1"/>
  <c r="T56" i="1"/>
  <c r="S56" i="1"/>
  <c r="R56" i="1"/>
  <c r="O56" i="1"/>
  <c r="M56" i="1"/>
  <c r="L56" i="1"/>
  <c r="K56" i="1"/>
  <c r="S55" i="1"/>
  <c r="T55" i="1" s="1"/>
  <c r="U55" i="1" s="1"/>
  <c r="R55" i="1"/>
  <c r="O55" i="1"/>
  <c r="M55" i="1"/>
  <c r="L55" i="1"/>
  <c r="K55" i="1"/>
  <c r="U54" i="1"/>
  <c r="T54" i="1"/>
  <c r="S54" i="1"/>
  <c r="R54" i="1"/>
  <c r="O54" i="1"/>
  <c r="M54" i="1"/>
  <c r="L54" i="1"/>
  <c r="K54" i="1"/>
  <c r="S53" i="1"/>
  <c r="T53" i="1" s="1"/>
  <c r="U53" i="1" s="1"/>
  <c r="R53" i="1"/>
  <c r="O53" i="1"/>
  <c r="M53" i="1"/>
  <c r="L53" i="1"/>
  <c r="K53" i="1"/>
  <c r="U52" i="1"/>
  <c r="T52" i="1"/>
  <c r="S52" i="1"/>
  <c r="R52" i="1"/>
  <c r="O52" i="1"/>
  <c r="M52" i="1"/>
  <c r="L52" i="1"/>
  <c r="K52" i="1"/>
  <c r="S51" i="1"/>
  <c r="T51" i="1" s="1"/>
  <c r="U51" i="1" s="1"/>
  <c r="R51" i="1"/>
  <c r="O51" i="1"/>
  <c r="M51" i="1"/>
  <c r="L51" i="1"/>
  <c r="K51" i="1"/>
  <c r="U50" i="1"/>
  <c r="T50" i="1"/>
  <c r="S50" i="1"/>
  <c r="R50" i="1"/>
  <c r="O50" i="1"/>
  <c r="M50" i="1"/>
  <c r="L50" i="1"/>
  <c r="K50" i="1"/>
  <c r="S49" i="1"/>
  <c r="T49" i="1" s="1"/>
  <c r="U49" i="1" s="1"/>
  <c r="R49" i="1"/>
  <c r="O49" i="1"/>
  <c r="M49" i="1"/>
  <c r="L49" i="1"/>
  <c r="K49" i="1"/>
  <c r="U48" i="1"/>
  <c r="T48" i="1"/>
  <c r="S48" i="1"/>
  <c r="R48" i="1"/>
  <c r="O48" i="1"/>
  <c r="M48" i="1"/>
  <c r="L48" i="1"/>
  <c r="K48" i="1"/>
  <c r="S47" i="1"/>
  <c r="T47" i="1" s="1"/>
  <c r="U47" i="1" s="1"/>
  <c r="R47" i="1"/>
  <c r="O47" i="1"/>
  <c r="M47" i="1"/>
  <c r="L47" i="1"/>
  <c r="K47" i="1"/>
  <c r="U46" i="1"/>
  <c r="T46" i="1"/>
  <c r="S46" i="1"/>
  <c r="R46" i="1"/>
  <c r="O46" i="1"/>
  <c r="M46" i="1"/>
  <c r="L46" i="1"/>
  <c r="K46" i="1"/>
  <c r="S45" i="1"/>
  <c r="T45" i="1" s="1"/>
  <c r="U45" i="1" s="1"/>
  <c r="R45" i="1"/>
  <c r="O45" i="1"/>
  <c r="M45" i="1"/>
  <c r="L45" i="1"/>
  <c r="K45" i="1"/>
  <c r="U44" i="1"/>
  <c r="T44" i="1"/>
  <c r="S44" i="1"/>
  <c r="R44" i="1"/>
  <c r="O44" i="1"/>
  <c r="M44" i="1"/>
  <c r="L44" i="1"/>
  <c r="K44" i="1"/>
  <c r="S43" i="1"/>
  <c r="T43" i="1" s="1"/>
  <c r="U43" i="1" s="1"/>
  <c r="R43" i="1"/>
  <c r="O43" i="1"/>
  <c r="M43" i="1"/>
  <c r="L43" i="1"/>
  <c r="K43" i="1"/>
  <c r="U42" i="1"/>
  <c r="T42" i="1"/>
  <c r="S42" i="1"/>
  <c r="R42" i="1"/>
  <c r="O42" i="1"/>
  <c r="M42" i="1"/>
  <c r="L42" i="1"/>
  <c r="K42" i="1"/>
  <c r="S41" i="1"/>
  <c r="T41" i="1" s="1"/>
  <c r="U41" i="1" s="1"/>
  <c r="R41" i="1"/>
  <c r="O41" i="1"/>
  <c r="M41" i="1"/>
  <c r="L41" i="1"/>
  <c r="K41" i="1"/>
  <c r="U40" i="1"/>
  <c r="T40" i="1"/>
  <c r="S40" i="1"/>
  <c r="R40" i="1"/>
  <c r="O40" i="1"/>
  <c r="M40" i="1"/>
  <c r="L40" i="1"/>
  <c r="K40" i="1"/>
  <c r="S39" i="1"/>
  <c r="T39" i="1" s="1"/>
  <c r="U39" i="1" s="1"/>
  <c r="R39" i="1"/>
  <c r="O39" i="1"/>
  <c r="M39" i="1"/>
  <c r="L39" i="1"/>
  <c r="K39" i="1"/>
  <c r="U38" i="1"/>
  <c r="T38" i="1"/>
  <c r="S38" i="1"/>
  <c r="R38" i="1"/>
  <c r="O38" i="1"/>
  <c r="M38" i="1"/>
  <c r="L38" i="1"/>
  <c r="K38" i="1"/>
  <c r="S37" i="1"/>
  <c r="T37" i="1" s="1"/>
  <c r="U37" i="1" s="1"/>
  <c r="R37" i="1"/>
  <c r="O37" i="1"/>
  <c r="M37" i="1"/>
  <c r="L37" i="1"/>
  <c r="K37" i="1"/>
  <c r="U36" i="1"/>
  <c r="T36" i="1"/>
  <c r="S36" i="1"/>
  <c r="R36" i="1"/>
  <c r="O36" i="1"/>
  <c r="M36" i="1"/>
  <c r="L36" i="1"/>
  <c r="K36" i="1"/>
  <c r="S35" i="1"/>
  <c r="T35" i="1" s="1"/>
  <c r="U35" i="1" s="1"/>
  <c r="R35" i="1"/>
  <c r="O35" i="1"/>
  <c r="M35" i="1"/>
  <c r="L35" i="1"/>
  <c r="K35" i="1"/>
  <c r="U34" i="1"/>
  <c r="T34" i="1"/>
  <c r="S34" i="1"/>
  <c r="R34" i="1"/>
  <c r="O34" i="1"/>
  <c r="M34" i="1"/>
  <c r="L34" i="1"/>
  <c r="K34" i="1"/>
  <c r="S33" i="1"/>
  <c r="T33" i="1" s="1"/>
  <c r="U33" i="1" s="1"/>
  <c r="R33" i="1"/>
  <c r="O33" i="1"/>
  <c r="M33" i="1"/>
  <c r="L33" i="1"/>
  <c r="K33" i="1"/>
  <c r="U32" i="1"/>
  <c r="T32" i="1"/>
  <c r="S32" i="1"/>
  <c r="R32" i="1"/>
  <c r="O32" i="1"/>
  <c r="M32" i="1"/>
  <c r="L32" i="1"/>
  <c r="K32" i="1"/>
  <c r="S31" i="1"/>
  <c r="T31" i="1" s="1"/>
  <c r="U31" i="1" s="1"/>
  <c r="R31" i="1"/>
  <c r="O31" i="1"/>
  <c r="M31" i="1"/>
  <c r="L31" i="1"/>
  <c r="K31" i="1"/>
  <c r="U30" i="1"/>
  <c r="T30" i="1"/>
  <c r="S30" i="1"/>
  <c r="R30" i="1"/>
  <c r="O30" i="1"/>
  <c r="M30" i="1"/>
  <c r="L30" i="1"/>
  <c r="K30" i="1"/>
  <c r="S29" i="1"/>
  <c r="T29" i="1" s="1"/>
  <c r="U29" i="1" s="1"/>
  <c r="R29" i="1"/>
  <c r="O29" i="1"/>
  <c r="M29" i="1"/>
  <c r="L29" i="1"/>
  <c r="K29" i="1"/>
  <c r="U28" i="1"/>
  <c r="T28" i="1"/>
  <c r="S28" i="1"/>
  <c r="R28" i="1"/>
  <c r="O28" i="1"/>
  <c r="M28" i="1"/>
  <c r="L28" i="1"/>
  <c r="K28" i="1"/>
  <c r="S27" i="1"/>
  <c r="T27" i="1" s="1"/>
  <c r="U27" i="1" s="1"/>
  <c r="R27" i="1"/>
  <c r="O27" i="1"/>
  <c r="M27" i="1"/>
  <c r="L27" i="1"/>
  <c r="K27" i="1"/>
  <c r="U26" i="1"/>
  <c r="T26" i="1"/>
  <c r="S26" i="1"/>
  <c r="R26" i="1"/>
  <c r="O26" i="1"/>
  <c r="M26" i="1"/>
  <c r="L26" i="1"/>
  <c r="K26" i="1"/>
  <c r="S25" i="1"/>
  <c r="T25" i="1" s="1"/>
  <c r="U25" i="1" s="1"/>
  <c r="R25" i="1"/>
  <c r="O25" i="1"/>
  <c r="M25" i="1"/>
  <c r="L25" i="1"/>
  <c r="K25" i="1"/>
  <c r="U24" i="1"/>
  <c r="T24" i="1"/>
  <c r="S24" i="1"/>
  <c r="R24" i="1"/>
  <c r="O24" i="1"/>
  <c r="M24" i="1"/>
  <c r="L24" i="1"/>
  <c r="K24" i="1"/>
  <c r="S23" i="1"/>
  <c r="T23" i="1" s="1"/>
  <c r="U23" i="1" s="1"/>
  <c r="R23" i="1"/>
  <c r="O23" i="1"/>
  <c r="M23" i="1"/>
  <c r="L23" i="1"/>
  <c r="K23" i="1"/>
  <c r="U22" i="1"/>
  <c r="T22" i="1"/>
  <c r="S22" i="1"/>
  <c r="R22" i="1"/>
  <c r="O22" i="1"/>
  <c r="M22" i="1"/>
  <c r="L22" i="1"/>
  <c r="K22" i="1"/>
  <c r="S21" i="1"/>
  <c r="T21" i="1" s="1"/>
  <c r="U21" i="1" s="1"/>
  <c r="R21" i="1"/>
  <c r="O21" i="1"/>
  <c r="M21" i="1"/>
  <c r="L21" i="1"/>
  <c r="K21" i="1"/>
  <c r="U20" i="1"/>
  <c r="T20" i="1"/>
  <c r="S20" i="1"/>
  <c r="R20" i="1"/>
  <c r="O20" i="1"/>
  <c r="M20" i="1"/>
  <c r="L20" i="1"/>
  <c r="K20" i="1"/>
  <c r="S19" i="1"/>
  <c r="T19" i="1" s="1"/>
  <c r="U19" i="1" s="1"/>
  <c r="R19" i="1"/>
  <c r="O19" i="1"/>
  <c r="M19" i="1"/>
  <c r="L19" i="1"/>
  <c r="K19" i="1"/>
  <c r="U18" i="1"/>
  <c r="T18" i="1"/>
  <c r="S18" i="1"/>
  <c r="R18" i="1"/>
  <c r="O18" i="1"/>
  <c r="M18" i="1"/>
  <c r="L18" i="1"/>
  <c r="K18" i="1"/>
  <c r="S17" i="1"/>
  <c r="T17" i="1" s="1"/>
  <c r="U17" i="1" s="1"/>
  <c r="R17" i="1"/>
  <c r="O17" i="1"/>
  <c r="M17" i="1"/>
  <c r="L17" i="1"/>
  <c r="K17" i="1"/>
  <c r="U16" i="1"/>
  <c r="T16" i="1"/>
  <c r="S16" i="1"/>
  <c r="R16" i="1"/>
  <c r="O16" i="1"/>
  <c r="M16" i="1"/>
  <c r="L16" i="1"/>
  <c r="K16" i="1"/>
  <c r="S15" i="1"/>
  <c r="T15" i="1" s="1"/>
  <c r="U15" i="1" s="1"/>
  <c r="R15" i="1"/>
  <c r="O15" i="1"/>
  <c r="M15" i="1"/>
  <c r="L15" i="1"/>
  <c r="K15" i="1"/>
  <c r="U14" i="1"/>
  <c r="T14" i="1"/>
  <c r="S14" i="1"/>
  <c r="R14" i="1"/>
  <c r="O14" i="1"/>
  <c r="M14" i="1"/>
  <c r="L14" i="1"/>
  <c r="K14" i="1"/>
  <c r="S13" i="1"/>
  <c r="T13" i="1" s="1"/>
  <c r="U13" i="1" s="1"/>
  <c r="R13" i="1"/>
  <c r="O13" i="1"/>
  <c r="M13" i="1"/>
  <c r="L13" i="1"/>
  <c r="K13" i="1"/>
  <c r="S12" i="1"/>
  <c r="T12" i="1" s="1"/>
  <c r="R12" i="1"/>
  <c r="O12" i="1"/>
  <c r="M12" i="1"/>
  <c r="L12" i="1"/>
  <c r="K12" i="1"/>
  <c r="S11" i="1"/>
  <c r="T11" i="1" s="1"/>
  <c r="R11" i="1"/>
  <c r="O11" i="1"/>
  <c r="M11" i="1"/>
  <c r="L11" i="1"/>
  <c r="K11" i="1"/>
  <c r="S10" i="1"/>
  <c r="T10" i="1" s="1"/>
  <c r="U10" i="1" s="1"/>
  <c r="R10" i="1"/>
  <c r="O10" i="1"/>
  <c r="M10" i="1"/>
  <c r="L10" i="1"/>
  <c r="K10" i="1"/>
  <c r="S9" i="1"/>
  <c r="T9" i="1" s="1"/>
  <c r="U9" i="1" s="1"/>
  <c r="R9" i="1"/>
  <c r="O9" i="1"/>
  <c r="M9" i="1"/>
  <c r="L9" i="1"/>
  <c r="K9" i="1"/>
  <c r="S8" i="1"/>
  <c r="T8" i="1" s="1"/>
  <c r="R8" i="1"/>
  <c r="O8" i="1"/>
  <c r="M8" i="1"/>
  <c r="L8" i="1"/>
  <c r="K8" i="1"/>
  <c r="S7" i="1"/>
  <c r="R7" i="1"/>
  <c r="O7" i="1"/>
  <c r="M7" i="1"/>
  <c r="L7" i="1"/>
  <c r="K7" i="1"/>
  <c r="S6" i="1"/>
  <c r="T6" i="1" s="1"/>
  <c r="R6" i="1"/>
  <c r="O6" i="1"/>
  <c r="M6" i="1"/>
  <c r="L6" i="1"/>
  <c r="K6" i="1"/>
  <c r="S5" i="1"/>
  <c r="T5" i="1" s="1"/>
  <c r="U5" i="1" s="1"/>
  <c r="R5" i="1"/>
  <c r="O5" i="1"/>
  <c r="M5" i="1"/>
  <c r="L5" i="1"/>
  <c r="K5" i="1"/>
  <c r="T4" i="1"/>
  <c r="S4" i="1"/>
  <c r="R4" i="1"/>
  <c r="O4" i="1"/>
  <c r="M4" i="1"/>
  <c r="L4" i="1"/>
  <c r="K4" i="1"/>
  <c r="S3" i="1"/>
  <c r="T3" i="1" s="1"/>
  <c r="R3" i="1"/>
  <c r="O3" i="1"/>
  <c r="M3" i="1"/>
  <c r="L3" i="1"/>
  <c r="K3" i="1"/>
  <c r="S2" i="1"/>
  <c r="T2" i="1" s="1"/>
  <c r="R2" i="1"/>
  <c r="O2" i="1"/>
  <c r="M2" i="1"/>
  <c r="L2" i="1"/>
  <c r="K2" i="1"/>
  <c r="U2" i="1" l="1"/>
  <c r="U3" i="1"/>
  <c r="U4" i="1"/>
  <c r="U8" i="1"/>
  <c r="U6" i="1"/>
  <c r="T7" i="1"/>
  <c r="U7" i="1" s="1"/>
  <c r="U12" i="1"/>
  <c r="U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R</author>
  </authors>
  <commentList>
    <comment ref="D2" authorId="0" shapeId="0" xr:uid="{5067C9F0-CB82-47A9-A5C2-C7A0EE223427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3" authorId="0" shapeId="0" xr:uid="{EFA4274D-A585-48E5-A498-0C906F78C39A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4" authorId="0" shapeId="0" xr:uid="{F4CB7896-734E-482F-AE90-92D6AA239EFE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5" authorId="0" shapeId="0" xr:uid="{22DF9DC1-8B82-4C40-9168-68C70A228694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</commentList>
</comments>
</file>

<file path=xl/sharedStrings.xml><?xml version="1.0" encoding="utf-8"?>
<sst xmlns="http://schemas.openxmlformats.org/spreadsheetml/2006/main" count="55" uniqueCount="36">
  <si>
    <t>Tranche ID</t>
  </si>
  <si>
    <t>Open Date</t>
  </si>
  <si>
    <t>Ticker</t>
  </si>
  <si>
    <t>Market VIX at Entry</t>
  </si>
  <si>
    <t>Inst IV at Entry (%)</t>
  </si>
  <si>
    <t>DTE at Entry</t>
  </si>
  <si>
    <t>Short Strike</t>
  </si>
  <si>
    <t>Long Strike</t>
  </si>
  <si>
    <t>Quantity</t>
  </si>
  <si>
    <t>Premium Collected (USD)</t>
  </si>
  <si>
    <t>Collateral Locked (USD)</t>
  </si>
  <si>
    <t>Total Net Credit (USD)</t>
  </si>
  <si>
    <t>Target 50% Exit Price (USD)</t>
  </si>
  <si>
    <t>Close Date</t>
  </si>
  <si>
    <t>Days Remaining</t>
  </si>
  <si>
    <t>Exit VIX/IV</t>
  </si>
  <si>
    <t>Closing Price (USD)</t>
  </si>
  <si>
    <t>Days in Trade</t>
  </si>
  <si>
    <t>Total P&amp;L (USD)</t>
  </si>
  <si>
    <t>Return on Capital (ROC) %</t>
  </si>
  <si>
    <t>Annualized ROC %</t>
  </si>
  <si>
    <t>Notes / Adjustments</t>
  </si>
  <si>
    <t>Silo A: 1</t>
  </si>
  <si>
    <t>Silo A: 2</t>
  </si>
  <si>
    <t>Silo C: 1</t>
  </si>
  <si>
    <t>Silo A: 3</t>
  </si>
  <si>
    <t>Silo C: 2</t>
  </si>
  <si>
    <t>Silo A: 4</t>
  </si>
  <si>
    <t>Silo C:3</t>
  </si>
  <si>
    <t>Silo A: 5</t>
  </si>
  <si>
    <t>Silo C: 4</t>
  </si>
  <si>
    <t>Silo A: 6</t>
  </si>
  <si>
    <t>Silo C: 5</t>
  </si>
  <si>
    <t>XSP</t>
  </si>
  <si>
    <t>Silo A: Acct 23144948</t>
  </si>
  <si>
    <t>Silo C: Acct 23154199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</si>
</sst>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856404"/>
      </font>
      <fill>
        <patternFill patternType="solid">
          <fgColor rgb="FFFFF3CD"/>
          <bgColor rgb="FFFFF3CD"/>
        </patternFill>
      </fill>
    </dxf>
    <dxf>
      <fill>
        <patternFill patternType="solid">
          <fgColor rgb="FFD1E7DD"/>
          <bgColor rgb="FFD1E7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zoomScale="130" zoomScaleNormal="130" workbookViewId="0">
      <pane ySplit="1" topLeftCell="A2" activePane="bottomLeft" state="frozen"/>
      <selection pane="bottomLeft" activeCell="V19" sqref="V19"/>
    </sheetView>
  </sheetViews>
  <sheetFormatPr defaultRowHeight="15" x14ac:dyDescent="0.25"/>
  <cols>
    <col min="1" max="1" width="12" customWidth="1"/>
    <col min="2" max="2" width="10.42578125" bestFit="1" customWidth="1"/>
    <col min="3" max="3" width="6.28515625" bestFit="1" customWidth="1"/>
    <col min="4" max="4" width="9.85546875" customWidth="1"/>
    <col min="5" max="5" width="11" customWidth="1"/>
    <col min="6" max="6" width="9" customWidth="1"/>
    <col min="7" max="9" width="8.5703125" customWidth="1"/>
    <col min="10" max="10" width="12" customWidth="1"/>
    <col min="11" max="11" width="11" customWidth="1"/>
    <col min="12" max="12" width="11.140625" customWidth="1"/>
    <col min="13" max="13" width="13.28515625" customWidth="1"/>
    <col min="14" max="14" width="12.7109375" customWidth="1"/>
    <col min="15" max="15" width="11.5703125" customWidth="1"/>
    <col min="16" max="16" width="8.42578125" customWidth="1"/>
    <col min="17" max="17" width="16" customWidth="1"/>
    <col min="18" max="18" width="9.28515625" customWidth="1"/>
    <col min="19" max="19" width="12.140625" customWidth="1"/>
    <col min="20" max="20" width="16" customWidth="1"/>
    <col min="21" max="21" width="11.42578125" customWidth="1"/>
    <col min="22" max="22" width="21.42578125" customWidth="1"/>
  </cols>
  <sheetData>
    <row r="1" spans="1:22" ht="48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7" t="s">
        <v>22</v>
      </c>
      <c r="B2" s="8">
        <v>46107</v>
      </c>
      <c r="C2" s="7" t="s">
        <v>33</v>
      </c>
      <c r="D2" s="9">
        <v>28.01</v>
      </c>
      <c r="E2" s="2"/>
      <c r="F2" s="7">
        <v>50</v>
      </c>
      <c r="G2" s="7">
        <v>600</v>
      </c>
      <c r="H2" s="7">
        <v>575</v>
      </c>
      <c r="I2" s="7">
        <v>1</v>
      </c>
      <c r="J2" s="9">
        <v>3.04</v>
      </c>
      <c r="K2" s="3">
        <f t="shared" ref="K2:K33" si="0">IF(OR(ISBLANK(G2),ISBLANK(H2),ISBLANK(I2)),"",(G2-H2)*100*I2)</f>
        <v>2500</v>
      </c>
      <c r="L2" s="3">
        <f t="shared" ref="L2:L33" si="1">IF(OR(ISBLANK(J2),ISBLANK(I2)),"",J2*100*I2)</f>
        <v>304</v>
      </c>
      <c r="M2" s="3">
        <f t="shared" ref="M2:M33" si="2">IF(ISBLANK(J2),"",J2/2)</f>
        <v>1.52</v>
      </c>
      <c r="N2" s="8">
        <v>46120</v>
      </c>
      <c r="O2" s="4" t="str">
        <f t="shared" ref="O2:O33" ca="1" si="3">IF(ISBLANK(B2), "", IF(ISBLANK(N2), F2 - (TODAY() - B2), "Closed"))</f>
        <v>Closed</v>
      </c>
      <c r="P2" s="2"/>
      <c r="Q2" s="9">
        <v>0.84599999999999997</v>
      </c>
      <c r="R2" s="5">
        <f t="shared" ref="R2:R33" si="4">IF(OR(ISBLANK(N2),ISBLANK(B2)),"",N2-B2)</f>
        <v>13</v>
      </c>
      <c r="S2" s="3">
        <f t="shared" ref="S2:S33" si="5">IF(OR(ISBLANK(Q2),ISBLANK(J2),ISBLANK(I2)),"",(J2-Q2)*100*I2)</f>
        <v>219.4</v>
      </c>
      <c r="T2" s="6">
        <f t="shared" ref="T2:T33" si="6">IF(OR(ISBLANK(S2),ISBLANK(K2),K2=0),"",S2/K2)</f>
        <v>8.7760000000000005E-2</v>
      </c>
      <c r="U2" s="6">
        <f t="shared" ref="U2:U33" si="7">IF(OR(ISBLANK(T2),ISBLANK(R2),R2=0),"",T2*(365/R2))</f>
        <v>2.4640307692307695</v>
      </c>
      <c r="V2" t="s">
        <v>34</v>
      </c>
    </row>
    <row r="3" spans="1:22" x14ac:dyDescent="0.25">
      <c r="A3" s="7" t="s">
        <v>23</v>
      </c>
      <c r="B3" s="8">
        <v>46107</v>
      </c>
      <c r="C3" s="7" t="s">
        <v>33</v>
      </c>
      <c r="D3" s="9">
        <v>28.18</v>
      </c>
      <c r="E3" s="2"/>
      <c r="F3" s="7">
        <v>50</v>
      </c>
      <c r="G3" s="7">
        <v>600</v>
      </c>
      <c r="H3" s="7">
        <v>575</v>
      </c>
      <c r="I3" s="7">
        <v>24</v>
      </c>
      <c r="J3" s="9">
        <v>3.12</v>
      </c>
      <c r="K3" s="3">
        <f t="shared" si="0"/>
        <v>60000</v>
      </c>
      <c r="L3" s="3">
        <f t="shared" si="1"/>
        <v>7488</v>
      </c>
      <c r="M3" s="3">
        <f t="shared" si="2"/>
        <v>1.56</v>
      </c>
      <c r="N3" s="8">
        <v>46120</v>
      </c>
      <c r="O3" s="4" t="str">
        <f t="shared" ca="1" si="3"/>
        <v>Closed</v>
      </c>
      <c r="P3" s="2"/>
      <c r="Q3" s="9">
        <v>0.84599999999999997</v>
      </c>
      <c r="R3" s="5">
        <f t="shared" si="4"/>
        <v>13</v>
      </c>
      <c r="S3" s="3">
        <f t="shared" si="5"/>
        <v>5457.6</v>
      </c>
      <c r="T3" s="6">
        <f t="shared" si="6"/>
        <v>9.0959999999999999E-2</v>
      </c>
      <c r="U3" s="6">
        <f t="shared" si="7"/>
        <v>2.5538769230769232</v>
      </c>
      <c r="V3" t="s">
        <v>34</v>
      </c>
    </row>
    <row r="4" spans="1:22" x14ac:dyDescent="0.25">
      <c r="A4" s="7" t="s">
        <v>24</v>
      </c>
      <c r="B4" s="8">
        <v>46113</v>
      </c>
      <c r="C4" s="7" t="s">
        <v>33</v>
      </c>
      <c r="D4" s="9">
        <v>19.3</v>
      </c>
      <c r="E4" s="2"/>
      <c r="F4" s="7">
        <v>44</v>
      </c>
      <c r="G4" s="7">
        <v>615</v>
      </c>
      <c r="H4" s="7">
        <v>590</v>
      </c>
      <c r="I4" s="7">
        <v>14</v>
      </c>
      <c r="J4" s="9">
        <v>2.67</v>
      </c>
      <c r="K4" s="3">
        <f t="shared" si="0"/>
        <v>35000</v>
      </c>
      <c r="L4" s="3">
        <f t="shared" si="1"/>
        <v>3738</v>
      </c>
      <c r="M4" s="3">
        <f t="shared" si="2"/>
        <v>1.335</v>
      </c>
      <c r="N4" s="8">
        <v>46120</v>
      </c>
      <c r="O4" s="4" t="str">
        <f t="shared" ca="1" si="3"/>
        <v>Closed</v>
      </c>
      <c r="P4" s="2"/>
      <c r="Q4" s="9">
        <v>1.42</v>
      </c>
      <c r="R4" s="5">
        <f t="shared" si="4"/>
        <v>7</v>
      </c>
      <c r="S4" s="3">
        <f t="shared" si="5"/>
        <v>1750</v>
      </c>
      <c r="T4" s="6">
        <f t="shared" si="6"/>
        <v>0.05</v>
      </c>
      <c r="U4" s="6">
        <f t="shared" si="7"/>
        <v>2.6071428571428577</v>
      </c>
      <c r="V4" t="s">
        <v>35</v>
      </c>
    </row>
    <row r="5" spans="1:22" x14ac:dyDescent="0.25">
      <c r="A5" s="7" t="s">
        <v>25</v>
      </c>
      <c r="B5" s="8">
        <v>46119</v>
      </c>
      <c r="C5" s="7" t="s">
        <v>33</v>
      </c>
      <c r="D5" s="9">
        <v>26.69</v>
      </c>
      <c r="E5" s="2"/>
      <c r="F5" s="7">
        <v>38</v>
      </c>
      <c r="G5" s="7">
        <v>615</v>
      </c>
      <c r="H5" s="7">
        <v>590</v>
      </c>
      <c r="I5" s="7">
        <v>25</v>
      </c>
      <c r="J5" s="9">
        <v>2.95</v>
      </c>
      <c r="K5" s="3">
        <f t="shared" si="0"/>
        <v>62500</v>
      </c>
      <c r="L5" s="3">
        <f t="shared" si="1"/>
        <v>7375</v>
      </c>
      <c r="M5" s="3">
        <f t="shared" si="2"/>
        <v>1.4750000000000001</v>
      </c>
      <c r="N5" s="8">
        <v>46120</v>
      </c>
      <c r="O5" s="4" t="str">
        <f t="shared" ca="1" si="3"/>
        <v>Closed</v>
      </c>
      <c r="P5" s="2"/>
      <c r="Q5" s="9">
        <v>1.42</v>
      </c>
      <c r="R5" s="5">
        <f t="shared" si="4"/>
        <v>1</v>
      </c>
      <c r="S5" s="3">
        <f t="shared" si="5"/>
        <v>3825.0000000000009</v>
      </c>
      <c r="T5" s="6">
        <f t="shared" si="6"/>
        <v>6.1200000000000011E-2</v>
      </c>
      <c r="U5" s="6">
        <f t="shared" si="7"/>
        <v>22.338000000000005</v>
      </c>
      <c r="V5" t="s">
        <v>34</v>
      </c>
    </row>
    <row r="6" spans="1:22" x14ac:dyDescent="0.25">
      <c r="A6" s="7" t="s">
        <v>26</v>
      </c>
      <c r="B6" s="8">
        <v>46119</v>
      </c>
      <c r="C6" s="7" t="s">
        <v>33</v>
      </c>
      <c r="D6" s="9">
        <v>26.65</v>
      </c>
      <c r="E6" s="2"/>
      <c r="F6" s="7">
        <v>38</v>
      </c>
      <c r="G6" s="7">
        <v>615</v>
      </c>
      <c r="H6" s="7">
        <v>590</v>
      </c>
      <c r="I6" s="7">
        <v>14</v>
      </c>
      <c r="J6" s="9">
        <v>3.08</v>
      </c>
      <c r="K6" s="3">
        <f t="shared" si="0"/>
        <v>35000</v>
      </c>
      <c r="L6" s="3">
        <f t="shared" si="1"/>
        <v>4312</v>
      </c>
      <c r="M6" s="3">
        <f t="shared" si="2"/>
        <v>1.54</v>
      </c>
      <c r="N6" s="8">
        <v>46120</v>
      </c>
      <c r="O6" s="4" t="str">
        <f t="shared" ca="1" si="3"/>
        <v>Closed</v>
      </c>
      <c r="P6" s="2"/>
      <c r="Q6" s="9">
        <v>1.42</v>
      </c>
      <c r="R6" s="5">
        <f t="shared" si="4"/>
        <v>1</v>
      </c>
      <c r="S6" s="3">
        <f t="shared" si="5"/>
        <v>2324</v>
      </c>
      <c r="T6" s="6">
        <f t="shared" si="6"/>
        <v>6.6400000000000001E-2</v>
      </c>
      <c r="U6" s="6">
        <f t="shared" si="7"/>
        <v>24.236000000000001</v>
      </c>
      <c r="V6" t="s">
        <v>35</v>
      </c>
    </row>
    <row r="7" spans="1:22" x14ac:dyDescent="0.25">
      <c r="A7" s="7" t="s">
        <v>27</v>
      </c>
      <c r="B7" s="8">
        <v>46125</v>
      </c>
      <c r="C7" s="7" t="s">
        <v>33</v>
      </c>
      <c r="D7" s="9">
        <v>19.82</v>
      </c>
      <c r="E7" s="2"/>
      <c r="F7" s="7">
        <v>46</v>
      </c>
      <c r="G7" s="7">
        <v>644</v>
      </c>
      <c r="H7" s="7">
        <v>619</v>
      </c>
      <c r="I7" s="7">
        <v>15</v>
      </c>
      <c r="J7" s="9">
        <v>2.5299999999999998</v>
      </c>
      <c r="K7" s="3">
        <f t="shared" si="0"/>
        <v>37500</v>
      </c>
      <c r="L7" s="3">
        <f t="shared" si="1"/>
        <v>3794.9999999999995</v>
      </c>
      <c r="M7" s="3">
        <f t="shared" si="2"/>
        <v>1.2649999999999999</v>
      </c>
      <c r="N7" s="8">
        <v>46128</v>
      </c>
      <c r="O7" s="4" t="str">
        <f t="shared" ca="1" si="3"/>
        <v>Closed</v>
      </c>
      <c r="P7" s="2"/>
      <c r="Q7" s="9">
        <v>1.26</v>
      </c>
      <c r="R7" s="5">
        <f t="shared" si="4"/>
        <v>3</v>
      </c>
      <c r="S7" s="3">
        <f t="shared" si="5"/>
        <v>1904.9999999999998</v>
      </c>
      <c r="T7" s="6">
        <f t="shared" si="6"/>
        <v>5.0799999999999991E-2</v>
      </c>
      <c r="U7" s="6">
        <f t="shared" si="7"/>
        <v>6.1806666666666654</v>
      </c>
      <c r="V7" t="s">
        <v>34</v>
      </c>
    </row>
    <row r="8" spans="1:22" x14ac:dyDescent="0.25">
      <c r="A8" s="7" t="s">
        <v>28</v>
      </c>
      <c r="B8" s="8">
        <v>46125</v>
      </c>
      <c r="C8" s="7" t="s">
        <v>33</v>
      </c>
      <c r="D8" s="9">
        <v>19.82</v>
      </c>
      <c r="E8" s="2"/>
      <c r="F8" s="7">
        <v>46</v>
      </c>
      <c r="G8" s="7">
        <v>644</v>
      </c>
      <c r="H8" s="7">
        <v>619</v>
      </c>
      <c r="I8" s="7">
        <v>7</v>
      </c>
      <c r="J8" s="9">
        <v>2.58</v>
      </c>
      <c r="K8" s="3">
        <f t="shared" si="0"/>
        <v>17500</v>
      </c>
      <c r="L8" s="3">
        <f t="shared" si="1"/>
        <v>1806</v>
      </c>
      <c r="M8" s="3">
        <f t="shared" si="2"/>
        <v>1.29</v>
      </c>
      <c r="N8" s="8">
        <v>46128</v>
      </c>
      <c r="O8" s="4" t="str">
        <f t="shared" ca="1" si="3"/>
        <v>Closed</v>
      </c>
      <c r="P8" s="2"/>
      <c r="Q8" s="9">
        <v>1.29</v>
      </c>
      <c r="R8" s="5">
        <f t="shared" si="4"/>
        <v>3</v>
      </c>
      <c r="S8" s="3">
        <f t="shared" si="5"/>
        <v>903</v>
      </c>
      <c r="T8" s="6">
        <f t="shared" si="6"/>
        <v>5.16E-2</v>
      </c>
      <c r="U8" s="6">
        <f t="shared" si="7"/>
        <v>6.2780000000000005</v>
      </c>
      <c r="V8" t="s">
        <v>35</v>
      </c>
    </row>
    <row r="9" spans="1:22" x14ac:dyDescent="0.25">
      <c r="A9" s="7" t="s">
        <v>29</v>
      </c>
      <c r="B9" s="8">
        <v>46129</v>
      </c>
      <c r="C9" s="7" t="s">
        <v>33</v>
      </c>
      <c r="D9" s="9">
        <v>17.399999999999999</v>
      </c>
      <c r="E9" s="2"/>
      <c r="F9" s="7">
        <v>49</v>
      </c>
      <c r="G9" s="7">
        <v>679</v>
      </c>
      <c r="H9" s="7">
        <v>654</v>
      </c>
      <c r="I9" s="7">
        <v>15</v>
      </c>
      <c r="J9" s="9">
        <v>2.4300000000000002</v>
      </c>
      <c r="K9" s="3">
        <f t="shared" si="0"/>
        <v>37500</v>
      </c>
      <c r="L9" s="3">
        <f t="shared" si="1"/>
        <v>3645.0000000000005</v>
      </c>
      <c r="M9" s="3">
        <f t="shared" si="2"/>
        <v>1.2150000000000001</v>
      </c>
      <c r="O9" s="4">
        <f t="shared" ca="1" si="3"/>
        <v>41</v>
      </c>
      <c r="P9" s="2"/>
      <c r="Q9" s="3"/>
      <c r="R9" s="5" t="str">
        <f t="shared" si="4"/>
        <v/>
      </c>
      <c r="S9" s="3" t="str">
        <f t="shared" si="5"/>
        <v/>
      </c>
      <c r="T9" s="6" t="e">
        <f t="shared" si="6"/>
        <v>#VALUE!</v>
      </c>
      <c r="U9" s="6" t="e">
        <f t="shared" si="7"/>
        <v>#VALUE!</v>
      </c>
      <c r="V9" t="s">
        <v>34</v>
      </c>
    </row>
    <row r="10" spans="1:22" x14ac:dyDescent="0.25">
      <c r="A10" s="7" t="s">
        <v>30</v>
      </c>
      <c r="B10" s="8">
        <v>46129</v>
      </c>
      <c r="C10" s="7" t="s">
        <v>33</v>
      </c>
      <c r="D10" s="9">
        <v>17.399999999999999</v>
      </c>
      <c r="E10" s="2"/>
      <c r="F10" s="7">
        <v>49</v>
      </c>
      <c r="G10" s="7">
        <v>679</v>
      </c>
      <c r="H10" s="7">
        <v>654</v>
      </c>
      <c r="I10" s="7">
        <v>7</v>
      </c>
      <c r="J10" s="9">
        <v>2.42</v>
      </c>
      <c r="K10" s="3">
        <f t="shared" si="0"/>
        <v>17500</v>
      </c>
      <c r="L10" s="3">
        <f t="shared" si="1"/>
        <v>1694</v>
      </c>
      <c r="M10" s="3">
        <f t="shared" si="2"/>
        <v>1.21</v>
      </c>
      <c r="O10" s="4">
        <f t="shared" ca="1" si="3"/>
        <v>41</v>
      </c>
      <c r="P10" s="2"/>
      <c r="Q10" s="3"/>
      <c r="R10" s="5" t="str">
        <f t="shared" si="4"/>
        <v/>
      </c>
      <c r="S10" s="3" t="str">
        <f t="shared" si="5"/>
        <v/>
      </c>
      <c r="T10" s="6" t="e">
        <f t="shared" si="6"/>
        <v>#VALUE!</v>
      </c>
      <c r="U10" s="6" t="e">
        <f t="shared" si="7"/>
        <v>#VALUE!</v>
      </c>
      <c r="V10" t="s">
        <v>35</v>
      </c>
    </row>
    <row r="11" spans="1:22" x14ac:dyDescent="0.25">
      <c r="A11" s="7" t="s">
        <v>31</v>
      </c>
      <c r="B11" s="8">
        <v>46132</v>
      </c>
      <c r="C11" s="7" t="s">
        <v>33</v>
      </c>
      <c r="D11" s="9">
        <v>19.45</v>
      </c>
      <c r="E11" s="2"/>
      <c r="F11" s="7">
        <v>46</v>
      </c>
      <c r="G11" s="7">
        <v>675</v>
      </c>
      <c r="H11" s="7">
        <v>650</v>
      </c>
      <c r="I11" s="7">
        <v>15</v>
      </c>
      <c r="J11" s="9">
        <v>2.46</v>
      </c>
      <c r="K11" s="3">
        <f t="shared" si="0"/>
        <v>37500</v>
      </c>
      <c r="L11" s="3">
        <f t="shared" si="1"/>
        <v>3690</v>
      </c>
      <c r="M11" s="3">
        <f t="shared" si="2"/>
        <v>1.23</v>
      </c>
      <c r="O11" s="4">
        <f t="shared" ca="1" si="3"/>
        <v>41</v>
      </c>
      <c r="P11" s="2"/>
      <c r="Q11" s="3"/>
      <c r="R11" s="5" t="str">
        <f t="shared" si="4"/>
        <v/>
      </c>
      <c r="S11" s="3" t="str">
        <f t="shared" si="5"/>
        <v/>
      </c>
      <c r="T11" s="6" t="e">
        <f t="shared" si="6"/>
        <v>#VALUE!</v>
      </c>
      <c r="U11" s="6" t="e">
        <f t="shared" si="7"/>
        <v>#VALUE!</v>
      </c>
      <c r="V11" t="s">
        <v>34</v>
      </c>
    </row>
    <row r="12" spans="1:22" x14ac:dyDescent="0.25">
      <c r="A12" s="7" t="s">
        <v>32</v>
      </c>
      <c r="B12" s="8">
        <v>46132</v>
      </c>
      <c r="C12" s="7" t="s">
        <v>33</v>
      </c>
      <c r="D12" s="9">
        <v>19.45</v>
      </c>
      <c r="E12" s="2"/>
      <c r="F12" s="7">
        <v>46</v>
      </c>
      <c r="G12" s="7">
        <v>672</v>
      </c>
      <c r="H12" s="7">
        <v>647</v>
      </c>
      <c r="I12" s="7">
        <v>7</v>
      </c>
      <c r="J12" s="9">
        <v>2.5299999999999998</v>
      </c>
      <c r="K12" s="3">
        <f t="shared" si="0"/>
        <v>17500</v>
      </c>
      <c r="L12" s="3">
        <f t="shared" si="1"/>
        <v>1770.9999999999998</v>
      </c>
      <c r="M12" s="3">
        <f t="shared" si="2"/>
        <v>1.2649999999999999</v>
      </c>
      <c r="O12" s="4">
        <f t="shared" ca="1" si="3"/>
        <v>41</v>
      </c>
      <c r="P12" s="2"/>
      <c r="Q12" s="3"/>
      <c r="R12" s="5" t="str">
        <f t="shared" si="4"/>
        <v/>
      </c>
      <c r="S12" s="3" t="str">
        <f t="shared" si="5"/>
        <v/>
      </c>
      <c r="T12" s="6" t="e">
        <f t="shared" si="6"/>
        <v>#VALUE!</v>
      </c>
      <c r="U12" s="6" t="e">
        <f t="shared" si="7"/>
        <v>#VALUE!</v>
      </c>
      <c r="V12" t="s">
        <v>35</v>
      </c>
    </row>
    <row r="13" spans="1:22" x14ac:dyDescent="0.25">
      <c r="E13" s="2"/>
      <c r="J13" s="3"/>
      <c r="K13" s="3" t="str">
        <f t="shared" si="0"/>
        <v/>
      </c>
      <c r="L13" s="3" t="str">
        <f t="shared" si="1"/>
        <v/>
      </c>
      <c r="M13" s="3" t="str">
        <f t="shared" si="2"/>
        <v/>
      </c>
      <c r="O13" s="4" t="str">
        <f t="shared" ca="1" si="3"/>
        <v/>
      </c>
      <c r="P13" s="2"/>
      <c r="Q13" s="3"/>
      <c r="R13" s="5" t="str">
        <f t="shared" si="4"/>
        <v/>
      </c>
      <c r="S13" s="3" t="str">
        <f t="shared" si="5"/>
        <v/>
      </c>
      <c r="T13" s="6" t="e">
        <f t="shared" si="6"/>
        <v>#VALUE!</v>
      </c>
      <c r="U13" s="6" t="e">
        <f t="shared" si="7"/>
        <v>#VALUE!</v>
      </c>
    </row>
    <row r="14" spans="1:22" x14ac:dyDescent="0.25">
      <c r="E14" s="2"/>
      <c r="J14" s="3"/>
      <c r="K14" s="3" t="str">
        <f t="shared" si="0"/>
        <v/>
      </c>
      <c r="L14" s="3" t="str">
        <f t="shared" si="1"/>
        <v/>
      </c>
      <c r="M14" s="3" t="str">
        <f t="shared" si="2"/>
        <v/>
      </c>
      <c r="O14" s="4" t="str">
        <f t="shared" ca="1" si="3"/>
        <v/>
      </c>
      <c r="P14" s="2"/>
      <c r="Q14" s="3"/>
      <c r="R14" s="5" t="str">
        <f t="shared" si="4"/>
        <v/>
      </c>
      <c r="S14" s="3" t="str">
        <f t="shared" si="5"/>
        <v/>
      </c>
      <c r="T14" s="6" t="e">
        <f t="shared" si="6"/>
        <v>#VALUE!</v>
      </c>
      <c r="U14" s="6" t="e">
        <f t="shared" si="7"/>
        <v>#VALUE!</v>
      </c>
    </row>
    <row r="15" spans="1:22" x14ac:dyDescent="0.25">
      <c r="E15" s="2"/>
      <c r="J15" s="3"/>
      <c r="K15" s="3" t="str">
        <f t="shared" si="0"/>
        <v/>
      </c>
      <c r="L15" s="3" t="str">
        <f t="shared" si="1"/>
        <v/>
      </c>
      <c r="M15" s="3" t="str">
        <f t="shared" si="2"/>
        <v/>
      </c>
      <c r="O15" s="4" t="str">
        <f t="shared" ca="1" si="3"/>
        <v/>
      </c>
      <c r="P15" s="2"/>
      <c r="Q15" s="3"/>
      <c r="R15" s="5" t="str">
        <f t="shared" si="4"/>
        <v/>
      </c>
      <c r="S15" s="3" t="str">
        <f t="shared" si="5"/>
        <v/>
      </c>
      <c r="T15" s="6" t="e">
        <f t="shared" si="6"/>
        <v>#VALUE!</v>
      </c>
      <c r="U15" s="6" t="e">
        <f t="shared" si="7"/>
        <v>#VALUE!</v>
      </c>
    </row>
    <row r="16" spans="1:22" x14ac:dyDescent="0.25">
      <c r="E16" s="2"/>
      <c r="J16" s="3"/>
      <c r="K16" s="3" t="str">
        <f t="shared" si="0"/>
        <v/>
      </c>
      <c r="L16" s="3" t="str">
        <f t="shared" si="1"/>
        <v/>
      </c>
      <c r="M16" s="3" t="str">
        <f t="shared" si="2"/>
        <v/>
      </c>
      <c r="O16" s="4" t="str">
        <f t="shared" ca="1" si="3"/>
        <v/>
      </c>
      <c r="P16" s="2"/>
      <c r="Q16" s="3"/>
      <c r="R16" s="5" t="str">
        <f t="shared" si="4"/>
        <v/>
      </c>
      <c r="S16" s="3" t="str">
        <f t="shared" si="5"/>
        <v/>
      </c>
      <c r="T16" s="6" t="e">
        <f t="shared" si="6"/>
        <v>#VALUE!</v>
      </c>
      <c r="U16" s="6" t="e">
        <f t="shared" si="7"/>
        <v>#VALUE!</v>
      </c>
    </row>
    <row r="17" spans="5:21" x14ac:dyDescent="0.25">
      <c r="E17" s="2"/>
      <c r="J17" s="3"/>
      <c r="K17" s="3" t="str">
        <f t="shared" si="0"/>
        <v/>
      </c>
      <c r="L17" s="3" t="str">
        <f t="shared" si="1"/>
        <v/>
      </c>
      <c r="M17" s="3" t="str">
        <f t="shared" si="2"/>
        <v/>
      </c>
      <c r="O17" s="4" t="str">
        <f t="shared" ca="1" si="3"/>
        <v/>
      </c>
      <c r="P17" s="2"/>
      <c r="Q17" s="3"/>
      <c r="R17" s="5" t="str">
        <f t="shared" si="4"/>
        <v/>
      </c>
      <c r="S17" s="3" t="str">
        <f t="shared" si="5"/>
        <v/>
      </c>
      <c r="T17" s="6" t="e">
        <f t="shared" si="6"/>
        <v>#VALUE!</v>
      </c>
      <c r="U17" s="6" t="e">
        <f t="shared" si="7"/>
        <v>#VALUE!</v>
      </c>
    </row>
    <row r="18" spans="5:21" x14ac:dyDescent="0.25">
      <c r="E18" s="2"/>
      <c r="J18" s="3"/>
      <c r="K18" s="3" t="str">
        <f t="shared" si="0"/>
        <v/>
      </c>
      <c r="L18" s="3" t="str">
        <f t="shared" si="1"/>
        <v/>
      </c>
      <c r="M18" s="3" t="str">
        <f t="shared" si="2"/>
        <v/>
      </c>
      <c r="O18" s="4" t="str">
        <f t="shared" ca="1" si="3"/>
        <v/>
      </c>
      <c r="P18" s="2"/>
      <c r="Q18" s="3"/>
      <c r="R18" s="5" t="str">
        <f t="shared" si="4"/>
        <v/>
      </c>
      <c r="S18" s="3" t="str">
        <f t="shared" si="5"/>
        <v/>
      </c>
      <c r="T18" s="6" t="e">
        <f t="shared" si="6"/>
        <v>#VALUE!</v>
      </c>
      <c r="U18" s="6" t="e">
        <f t="shared" si="7"/>
        <v>#VALUE!</v>
      </c>
    </row>
    <row r="19" spans="5:21" x14ac:dyDescent="0.25">
      <c r="E19" s="2"/>
      <c r="J19" s="3"/>
      <c r="K19" s="3" t="str">
        <f t="shared" si="0"/>
        <v/>
      </c>
      <c r="L19" s="3" t="str">
        <f t="shared" si="1"/>
        <v/>
      </c>
      <c r="M19" s="3" t="str">
        <f t="shared" si="2"/>
        <v/>
      </c>
      <c r="O19" s="4" t="str">
        <f t="shared" ca="1" si="3"/>
        <v/>
      </c>
      <c r="P19" s="2"/>
      <c r="Q19" s="3"/>
      <c r="R19" s="5" t="str">
        <f t="shared" si="4"/>
        <v/>
      </c>
      <c r="S19" s="3" t="str">
        <f t="shared" si="5"/>
        <v/>
      </c>
      <c r="T19" s="6" t="e">
        <f t="shared" si="6"/>
        <v>#VALUE!</v>
      </c>
      <c r="U19" s="6" t="e">
        <f t="shared" si="7"/>
        <v>#VALUE!</v>
      </c>
    </row>
    <row r="20" spans="5:21" x14ac:dyDescent="0.25">
      <c r="E20" s="2"/>
      <c r="J20" s="3"/>
      <c r="K20" s="3" t="str">
        <f t="shared" si="0"/>
        <v/>
      </c>
      <c r="L20" s="3" t="str">
        <f t="shared" si="1"/>
        <v/>
      </c>
      <c r="M20" s="3" t="str">
        <f t="shared" si="2"/>
        <v/>
      </c>
      <c r="O20" s="4" t="str">
        <f t="shared" ca="1" si="3"/>
        <v/>
      </c>
      <c r="P20" s="2"/>
      <c r="Q20" s="3"/>
      <c r="R20" s="5" t="str">
        <f t="shared" si="4"/>
        <v/>
      </c>
      <c r="S20" s="3" t="str">
        <f t="shared" si="5"/>
        <v/>
      </c>
      <c r="T20" s="6" t="e">
        <f t="shared" si="6"/>
        <v>#VALUE!</v>
      </c>
      <c r="U20" s="6" t="e">
        <f t="shared" si="7"/>
        <v>#VALUE!</v>
      </c>
    </row>
    <row r="21" spans="5:21" x14ac:dyDescent="0.25">
      <c r="E21" s="2"/>
      <c r="J21" s="3"/>
      <c r="K21" s="3" t="str">
        <f t="shared" si="0"/>
        <v/>
      </c>
      <c r="L21" s="3" t="str">
        <f t="shared" si="1"/>
        <v/>
      </c>
      <c r="M21" s="3" t="str">
        <f t="shared" si="2"/>
        <v/>
      </c>
      <c r="O21" s="4" t="str">
        <f t="shared" ca="1" si="3"/>
        <v/>
      </c>
      <c r="P21" s="2"/>
      <c r="Q21" s="3"/>
      <c r="R21" s="5" t="str">
        <f t="shared" si="4"/>
        <v/>
      </c>
      <c r="S21" s="3" t="str">
        <f t="shared" si="5"/>
        <v/>
      </c>
      <c r="T21" s="6" t="e">
        <f t="shared" si="6"/>
        <v>#VALUE!</v>
      </c>
      <c r="U21" s="6" t="e">
        <f t="shared" si="7"/>
        <v>#VALUE!</v>
      </c>
    </row>
    <row r="22" spans="5:21" x14ac:dyDescent="0.25">
      <c r="E22" s="2"/>
      <c r="J22" s="3"/>
      <c r="K22" s="3" t="str">
        <f t="shared" si="0"/>
        <v/>
      </c>
      <c r="L22" s="3" t="str">
        <f t="shared" si="1"/>
        <v/>
      </c>
      <c r="M22" s="3" t="str">
        <f t="shared" si="2"/>
        <v/>
      </c>
      <c r="O22" s="4" t="str">
        <f t="shared" ca="1" si="3"/>
        <v/>
      </c>
      <c r="P22" s="2"/>
      <c r="Q22" s="3"/>
      <c r="R22" s="5" t="str">
        <f t="shared" si="4"/>
        <v/>
      </c>
      <c r="S22" s="3" t="str">
        <f t="shared" si="5"/>
        <v/>
      </c>
      <c r="T22" s="6" t="e">
        <f t="shared" si="6"/>
        <v>#VALUE!</v>
      </c>
      <c r="U22" s="6" t="e">
        <f t="shared" si="7"/>
        <v>#VALUE!</v>
      </c>
    </row>
    <row r="23" spans="5:21" x14ac:dyDescent="0.25">
      <c r="E23" s="2"/>
      <c r="J23" s="3"/>
      <c r="K23" s="3" t="str">
        <f t="shared" si="0"/>
        <v/>
      </c>
      <c r="L23" s="3" t="str">
        <f t="shared" si="1"/>
        <v/>
      </c>
      <c r="M23" s="3" t="str">
        <f t="shared" si="2"/>
        <v/>
      </c>
      <c r="O23" s="4" t="str">
        <f t="shared" ca="1" si="3"/>
        <v/>
      </c>
      <c r="P23" s="2"/>
      <c r="Q23" s="3"/>
      <c r="R23" s="5" t="str">
        <f t="shared" si="4"/>
        <v/>
      </c>
      <c r="S23" s="3" t="str">
        <f t="shared" si="5"/>
        <v/>
      </c>
      <c r="T23" s="6" t="e">
        <f t="shared" si="6"/>
        <v>#VALUE!</v>
      </c>
      <c r="U23" s="6" t="e">
        <f t="shared" si="7"/>
        <v>#VALUE!</v>
      </c>
    </row>
    <row r="24" spans="5:21" x14ac:dyDescent="0.25">
      <c r="E24" s="2"/>
      <c r="J24" s="3"/>
      <c r="K24" s="3" t="str">
        <f t="shared" si="0"/>
        <v/>
      </c>
      <c r="L24" s="3" t="str">
        <f t="shared" si="1"/>
        <v/>
      </c>
      <c r="M24" s="3" t="str">
        <f t="shared" si="2"/>
        <v/>
      </c>
      <c r="O24" s="4" t="str">
        <f t="shared" ca="1" si="3"/>
        <v/>
      </c>
      <c r="P24" s="2"/>
      <c r="Q24" s="3"/>
      <c r="R24" s="5" t="str">
        <f t="shared" si="4"/>
        <v/>
      </c>
      <c r="S24" s="3" t="str">
        <f t="shared" si="5"/>
        <v/>
      </c>
      <c r="T24" s="6" t="e">
        <f t="shared" si="6"/>
        <v>#VALUE!</v>
      </c>
      <c r="U24" s="6" t="e">
        <f t="shared" si="7"/>
        <v>#VALUE!</v>
      </c>
    </row>
    <row r="25" spans="5:21" x14ac:dyDescent="0.25">
      <c r="E25" s="2"/>
      <c r="J25" s="3"/>
      <c r="K25" s="3" t="str">
        <f t="shared" si="0"/>
        <v/>
      </c>
      <c r="L25" s="3" t="str">
        <f t="shared" si="1"/>
        <v/>
      </c>
      <c r="M25" s="3" t="str">
        <f t="shared" si="2"/>
        <v/>
      </c>
      <c r="O25" s="4" t="str">
        <f t="shared" ca="1" si="3"/>
        <v/>
      </c>
      <c r="P25" s="2"/>
      <c r="Q25" s="3"/>
      <c r="R25" s="5" t="str">
        <f t="shared" si="4"/>
        <v/>
      </c>
      <c r="S25" s="3" t="str">
        <f t="shared" si="5"/>
        <v/>
      </c>
      <c r="T25" s="6" t="e">
        <f t="shared" si="6"/>
        <v>#VALUE!</v>
      </c>
      <c r="U25" s="6" t="e">
        <f t="shared" si="7"/>
        <v>#VALUE!</v>
      </c>
    </row>
    <row r="26" spans="5:21" x14ac:dyDescent="0.25">
      <c r="E26" s="2"/>
      <c r="J26" s="3"/>
      <c r="K26" s="3" t="str">
        <f t="shared" si="0"/>
        <v/>
      </c>
      <c r="L26" s="3" t="str">
        <f t="shared" si="1"/>
        <v/>
      </c>
      <c r="M26" s="3" t="str">
        <f t="shared" si="2"/>
        <v/>
      </c>
      <c r="O26" s="4" t="str">
        <f t="shared" ca="1" si="3"/>
        <v/>
      </c>
      <c r="P26" s="2"/>
      <c r="Q26" s="3"/>
      <c r="R26" s="5" t="str">
        <f t="shared" si="4"/>
        <v/>
      </c>
      <c r="S26" s="3" t="str">
        <f t="shared" si="5"/>
        <v/>
      </c>
      <c r="T26" s="6" t="e">
        <f t="shared" si="6"/>
        <v>#VALUE!</v>
      </c>
      <c r="U26" s="6" t="e">
        <f t="shared" si="7"/>
        <v>#VALUE!</v>
      </c>
    </row>
    <row r="27" spans="5:21" x14ac:dyDescent="0.25">
      <c r="E27" s="2"/>
      <c r="J27" s="3"/>
      <c r="K27" s="3" t="str">
        <f t="shared" si="0"/>
        <v/>
      </c>
      <c r="L27" s="3" t="str">
        <f t="shared" si="1"/>
        <v/>
      </c>
      <c r="M27" s="3" t="str">
        <f t="shared" si="2"/>
        <v/>
      </c>
      <c r="O27" s="4" t="str">
        <f t="shared" ca="1" si="3"/>
        <v/>
      </c>
      <c r="P27" s="2"/>
      <c r="Q27" s="3"/>
      <c r="R27" s="5" t="str">
        <f t="shared" si="4"/>
        <v/>
      </c>
      <c r="S27" s="3" t="str">
        <f t="shared" si="5"/>
        <v/>
      </c>
      <c r="T27" s="6" t="e">
        <f t="shared" si="6"/>
        <v>#VALUE!</v>
      </c>
      <c r="U27" s="6" t="e">
        <f t="shared" si="7"/>
        <v>#VALUE!</v>
      </c>
    </row>
    <row r="28" spans="5:21" x14ac:dyDescent="0.25">
      <c r="E28" s="2"/>
      <c r="J28" s="3"/>
      <c r="K28" s="3" t="str">
        <f t="shared" si="0"/>
        <v/>
      </c>
      <c r="L28" s="3" t="str">
        <f t="shared" si="1"/>
        <v/>
      </c>
      <c r="M28" s="3" t="str">
        <f t="shared" si="2"/>
        <v/>
      </c>
      <c r="O28" s="4" t="str">
        <f t="shared" ca="1" si="3"/>
        <v/>
      </c>
      <c r="P28" s="2"/>
      <c r="Q28" s="3"/>
      <c r="R28" s="5" t="str">
        <f t="shared" si="4"/>
        <v/>
      </c>
      <c r="S28" s="3" t="str">
        <f t="shared" si="5"/>
        <v/>
      </c>
      <c r="T28" s="6" t="e">
        <f t="shared" si="6"/>
        <v>#VALUE!</v>
      </c>
      <c r="U28" s="6" t="e">
        <f t="shared" si="7"/>
        <v>#VALUE!</v>
      </c>
    </row>
    <row r="29" spans="5:21" x14ac:dyDescent="0.25">
      <c r="E29" s="2"/>
      <c r="J29" s="3"/>
      <c r="K29" s="3" t="str">
        <f t="shared" si="0"/>
        <v/>
      </c>
      <c r="L29" s="3" t="str">
        <f t="shared" si="1"/>
        <v/>
      </c>
      <c r="M29" s="3" t="str">
        <f t="shared" si="2"/>
        <v/>
      </c>
      <c r="O29" s="4" t="str">
        <f t="shared" ca="1" si="3"/>
        <v/>
      </c>
      <c r="P29" s="2"/>
      <c r="Q29" s="3"/>
      <c r="R29" s="5" t="str">
        <f t="shared" si="4"/>
        <v/>
      </c>
      <c r="S29" s="3" t="str">
        <f t="shared" si="5"/>
        <v/>
      </c>
      <c r="T29" s="6" t="e">
        <f t="shared" si="6"/>
        <v>#VALUE!</v>
      </c>
      <c r="U29" s="6" t="e">
        <f t="shared" si="7"/>
        <v>#VALUE!</v>
      </c>
    </row>
    <row r="30" spans="5:21" x14ac:dyDescent="0.25">
      <c r="E30" s="2"/>
      <c r="J30" s="3"/>
      <c r="K30" s="3" t="str">
        <f t="shared" si="0"/>
        <v/>
      </c>
      <c r="L30" s="3" t="str">
        <f t="shared" si="1"/>
        <v/>
      </c>
      <c r="M30" s="3" t="str">
        <f t="shared" si="2"/>
        <v/>
      </c>
      <c r="O30" s="4" t="str">
        <f t="shared" ca="1" si="3"/>
        <v/>
      </c>
      <c r="P30" s="2"/>
      <c r="Q30" s="3"/>
      <c r="R30" s="5" t="str">
        <f t="shared" si="4"/>
        <v/>
      </c>
      <c r="S30" s="3" t="str">
        <f t="shared" si="5"/>
        <v/>
      </c>
      <c r="T30" s="6" t="e">
        <f t="shared" si="6"/>
        <v>#VALUE!</v>
      </c>
      <c r="U30" s="6" t="e">
        <f t="shared" si="7"/>
        <v>#VALUE!</v>
      </c>
    </row>
    <row r="31" spans="5:21" x14ac:dyDescent="0.25">
      <c r="E31" s="2"/>
      <c r="J31" s="3"/>
      <c r="K31" s="3" t="str">
        <f t="shared" si="0"/>
        <v/>
      </c>
      <c r="L31" s="3" t="str">
        <f t="shared" si="1"/>
        <v/>
      </c>
      <c r="M31" s="3" t="str">
        <f t="shared" si="2"/>
        <v/>
      </c>
      <c r="O31" s="4" t="str">
        <f t="shared" ca="1" si="3"/>
        <v/>
      </c>
      <c r="P31" s="2"/>
      <c r="Q31" s="3"/>
      <c r="R31" s="5" t="str">
        <f t="shared" si="4"/>
        <v/>
      </c>
      <c r="S31" s="3" t="str">
        <f t="shared" si="5"/>
        <v/>
      </c>
      <c r="T31" s="6" t="e">
        <f t="shared" si="6"/>
        <v>#VALUE!</v>
      </c>
      <c r="U31" s="6" t="e">
        <f t="shared" si="7"/>
        <v>#VALUE!</v>
      </c>
    </row>
    <row r="32" spans="5:21" x14ac:dyDescent="0.25">
      <c r="E32" s="2"/>
      <c r="J32" s="3"/>
      <c r="K32" s="3" t="str">
        <f t="shared" si="0"/>
        <v/>
      </c>
      <c r="L32" s="3" t="str">
        <f t="shared" si="1"/>
        <v/>
      </c>
      <c r="M32" s="3" t="str">
        <f t="shared" si="2"/>
        <v/>
      </c>
      <c r="O32" s="4" t="str">
        <f t="shared" ca="1" si="3"/>
        <v/>
      </c>
      <c r="P32" s="2"/>
      <c r="Q32" s="3"/>
      <c r="R32" s="5" t="str">
        <f t="shared" si="4"/>
        <v/>
      </c>
      <c r="S32" s="3" t="str">
        <f t="shared" si="5"/>
        <v/>
      </c>
      <c r="T32" s="6" t="e">
        <f t="shared" si="6"/>
        <v>#VALUE!</v>
      </c>
      <c r="U32" s="6" t="e">
        <f t="shared" si="7"/>
        <v>#VALUE!</v>
      </c>
    </row>
    <row r="33" spans="5:21" x14ac:dyDescent="0.25">
      <c r="E33" s="2"/>
      <c r="J33" s="3"/>
      <c r="K33" s="3" t="str">
        <f t="shared" si="0"/>
        <v/>
      </c>
      <c r="L33" s="3" t="str">
        <f t="shared" si="1"/>
        <v/>
      </c>
      <c r="M33" s="3" t="str">
        <f t="shared" si="2"/>
        <v/>
      </c>
      <c r="O33" s="4" t="str">
        <f t="shared" ca="1" si="3"/>
        <v/>
      </c>
      <c r="P33" s="2"/>
      <c r="Q33" s="3"/>
      <c r="R33" s="5" t="str">
        <f t="shared" si="4"/>
        <v/>
      </c>
      <c r="S33" s="3" t="str">
        <f t="shared" si="5"/>
        <v/>
      </c>
      <c r="T33" s="6" t="e">
        <f t="shared" si="6"/>
        <v>#VALUE!</v>
      </c>
      <c r="U33" s="6" t="e">
        <f t="shared" si="7"/>
        <v>#VALUE!</v>
      </c>
    </row>
    <row r="34" spans="5:21" x14ac:dyDescent="0.25">
      <c r="E34" s="2"/>
      <c r="J34" s="3"/>
      <c r="K34" s="3" t="str">
        <f t="shared" ref="K34:K65" si="8">IF(OR(ISBLANK(G34),ISBLANK(H34),ISBLANK(I34)),"",(G34-H34)*100*I34)</f>
        <v/>
      </c>
      <c r="L34" s="3" t="str">
        <f t="shared" ref="L34:L65" si="9">IF(OR(ISBLANK(J34),ISBLANK(I34)),"",J34*100*I34)</f>
        <v/>
      </c>
      <c r="M34" s="3" t="str">
        <f t="shared" ref="M34:M65" si="10">IF(ISBLANK(J34),"",J34/2)</f>
        <v/>
      </c>
      <c r="O34" s="4" t="str">
        <f t="shared" ref="O34:O65" ca="1" si="11">IF(ISBLANK(B34), "", IF(ISBLANK(N34), F34 - (TODAY() - B34), "Closed"))</f>
        <v/>
      </c>
      <c r="P34" s="2"/>
      <c r="Q34" s="3"/>
      <c r="R34" s="5" t="str">
        <f t="shared" ref="R34:R65" si="12">IF(OR(ISBLANK(N34),ISBLANK(B34)),"",N34-B34)</f>
        <v/>
      </c>
      <c r="S34" s="3" t="str">
        <f t="shared" ref="S34:S65" si="13">IF(OR(ISBLANK(Q34),ISBLANK(J34),ISBLANK(I34)),"",(J34-Q34)*100*I34)</f>
        <v/>
      </c>
      <c r="T34" s="6" t="e">
        <f t="shared" ref="T34:T65" si="14">IF(OR(ISBLANK(S34),ISBLANK(K34),K34=0),"",S34/K34)</f>
        <v>#VALUE!</v>
      </c>
      <c r="U34" s="6" t="e">
        <f t="shared" ref="U34:U65" si="15">IF(OR(ISBLANK(T34),ISBLANK(R34),R34=0),"",T34*(365/R34))</f>
        <v>#VALUE!</v>
      </c>
    </row>
    <row r="35" spans="5:21" x14ac:dyDescent="0.25">
      <c r="E35" s="2"/>
      <c r="J35" s="3"/>
      <c r="K35" s="3" t="str">
        <f t="shared" si="8"/>
        <v/>
      </c>
      <c r="L35" s="3" t="str">
        <f t="shared" si="9"/>
        <v/>
      </c>
      <c r="M35" s="3" t="str">
        <f t="shared" si="10"/>
        <v/>
      </c>
      <c r="O35" s="4" t="str">
        <f t="shared" ca="1" si="11"/>
        <v/>
      </c>
      <c r="P35" s="2"/>
      <c r="Q35" s="3"/>
      <c r="R35" s="5" t="str">
        <f t="shared" si="12"/>
        <v/>
      </c>
      <c r="S35" s="3" t="str">
        <f t="shared" si="13"/>
        <v/>
      </c>
      <c r="T35" s="6" t="e">
        <f t="shared" si="14"/>
        <v>#VALUE!</v>
      </c>
      <c r="U35" s="6" t="e">
        <f t="shared" si="15"/>
        <v>#VALUE!</v>
      </c>
    </row>
    <row r="36" spans="5:21" x14ac:dyDescent="0.25">
      <c r="E36" s="2"/>
      <c r="J36" s="3"/>
      <c r="K36" s="3" t="str">
        <f t="shared" si="8"/>
        <v/>
      </c>
      <c r="L36" s="3" t="str">
        <f t="shared" si="9"/>
        <v/>
      </c>
      <c r="M36" s="3" t="str">
        <f t="shared" si="10"/>
        <v/>
      </c>
      <c r="O36" s="4" t="str">
        <f t="shared" ca="1" si="11"/>
        <v/>
      </c>
      <c r="P36" s="2"/>
      <c r="Q36" s="3"/>
      <c r="R36" s="5" t="str">
        <f t="shared" si="12"/>
        <v/>
      </c>
      <c r="S36" s="3" t="str">
        <f t="shared" si="13"/>
        <v/>
      </c>
      <c r="T36" s="6" t="e">
        <f t="shared" si="14"/>
        <v>#VALUE!</v>
      </c>
      <c r="U36" s="6" t="e">
        <f t="shared" si="15"/>
        <v>#VALUE!</v>
      </c>
    </row>
    <row r="37" spans="5:21" x14ac:dyDescent="0.25">
      <c r="E37" s="2"/>
      <c r="J37" s="3"/>
      <c r="K37" s="3" t="str">
        <f t="shared" si="8"/>
        <v/>
      </c>
      <c r="L37" s="3" t="str">
        <f t="shared" si="9"/>
        <v/>
      </c>
      <c r="M37" s="3" t="str">
        <f t="shared" si="10"/>
        <v/>
      </c>
      <c r="O37" s="4" t="str">
        <f t="shared" ca="1" si="11"/>
        <v/>
      </c>
      <c r="P37" s="2"/>
      <c r="Q37" s="3"/>
      <c r="R37" s="5" t="str">
        <f t="shared" si="12"/>
        <v/>
      </c>
      <c r="S37" s="3" t="str">
        <f t="shared" si="13"/>
        <v/>
      </c>
      <c r="T37" s="6" t="e">
        <f t="shared" si="14"/>
        <v>#VALUE!</v>
      </c>
      <c r="U37" s="6" t="e">
        <f t="shared" si="15"/>
        <v>#VALUE!</v>
      </c>
    </row>
    <row r="38" spans="5:21" x14ac:dyDescent="0.25">
      <c r="E38" s="2"/>
      <c r="J38" s="3"/>
      <c r="K38" s="3" t="str">
        <f t="shared" si="8"/>
        <v/>
      </c>
      <c r="L38" s="3" t="str">
        <f t="shared" si="9"/>
        <v/>
      </c>
      <c r="M38" s="3" t="str">
        <f t="shared" si="10"/>
        <v/>
      </c>
      <c r="O38" s="4" t="str">
        <f t="shared" ca="1" si="11"/>
        <v/>
      </c>
      <c r="P38" s="2"/>
      <c r="Q38" s="3"/>
      <c r="R38" s="5" t="str">
        <f t="shared" si="12"/>
        <v/>
      </c>
      <c r="S38" s="3" t="str">
        <f t="shared" si="13"/>
        <v/>
      </c>
      <c r="T38" s="6" t="e">
        <f t="shared" si="14"/>
        <v>#VALUE!</v>
      </c>
      <c r="U38" s="6" t="e">
        <f t="shared" si="15"/>
        <v>#VALUE!</v>
      </c>
    </row>
    <row r="39" spans="5:21" x14ac:dyDescent="0.25">
      <c r="E39" s="2"/>
      <c r="J39" s="3"/>
      <c r="K39" s="3" t="str">
        <f t="shared" si="8"/>
        <v/>
      </c>
      <c r="L39" s="3" t="str">
        <f t="shared" si="9"/>
        <v/>
      </c>
      <c r="M39" s="3" t="str">
        <f t="shared" si="10"/>
        <v/>
      </c>
      <c r="O39" s="4" t="str">
        <f t="shared" ca="1" si="11"/>
        <v/>
      </c>
      <c r="P39" s="2"/>
      <c r="Q39" s="3"/>
      <c r="R39" s="5" t="str">
        <f t="shared" si="12"/>
        <v/>
      </c>
      <c r="S39" s="3" t="str">
        <f t="shared" si="13"/>
        <v/>
      </c>
      <c r="T39" s="6" t="e">
        <f t="shared" si="14"/>
        <v>#VALUE!</v>
      </c>
      <c r="U39" s="6" t="e">
        <f t="shared" si="15"/>
        <v>#VALUE!</v>
      </c>
    </row>
    <row r="40" spans="5:21" x14ac:dyDescent="0.25">
      <c r="E40" s="2"/>
      <c r="J40" s="3"/>
      <c r="K40" s="3" t="str">
        <f t="shared" si="8"/>
        <v/>
      </c>
      <c r="L40" s="3" t="str">
        <f t="shared" si="9"/>
        <v/>
      </c>
      <c r="M40" s="3" t="str">
        <f t="shared" si="10"/>
        <v/>
      </c>
      <c r="O40" s="4" t="str">
        <f t="shared" ca="1" si="11"/>
        <v/>
      </c>
      <c r="P40" s="2"/>
      <c r="Q40" s="3"/>
      <c r="R40" s="5" t="str">
        <f t="shared" si="12"/>
        <v/>
      </c>
      <c r="S40" s="3" t="str">
        <f t="shared" si="13"/>
        <v/>
      </c>
      <c r="T40" s="6" t="e">
        <f t="shared" si="14"/>
        <v>#VALUE!</v>
      </c>
      <c r="U40" s="6" t="e">
        <f t="shared" si="15"/>
        <v>#VALUE!</v>
      </c>
    </row>
    <row r="41" spans="5:21" x14ac:dyDescent="0.25">
      <c r="E41" s="2"/>
      <c r="J41" s="3"/>
      <c r="K41" s="3" t="str">
        <f t="shared" si="8"/>
        <v/>
      </c>
      <c r="L41" s="3" t="str">
        <f t="shared" si="9"/>
        <v/>
      </c>
      <c r="M41" s="3" t="str">
        <f t="shared" si="10"/>
        <v/>
      </c>
      <c r="O41" s="4" t="str">
        <f t="shared" ca="1" si="11"/>
        <v/>
      </c>
      <c r="P41" s="2"/>
      <c r="Q41" s="3"/>
      <c r="R41" s="5" t="str">
        <f t="shared" si="12"/>
        <v/>
      </c>
      <c r="S41" s="3" t="str">
        <f t="shared" si="13"/>
        <v/>
      </c>
      <c r="T41" s="6" t="e">
        <f t="shared" si="14"/>
        <v>#VALUE!</v>
      </c>
      <c r="U41" s="6" t="e">
        <f t="shared" si="15"/>
        <v>#VALUE!</v>
      </c>
    </row>
    <row r="42" spans="5:21" x14ac:dyDescent="0.25">
      <c r="E42" s="2"/>
      <c r="J42" s="3"/>
      <c r="K42" s="3" t="str">
        <f t="shared" si="8"/>
        <v/>
      </c>
      <c r="L42" s="3" t="str">
        <f t="shared" si="9"/>
        <v/>
      </c>
      <c r="M42" s="3" t="str">
        <f t="shared" si="10"/>
        <v/>
      </c>
      <c r="O42" s="4" t="str">
        <f t="shared" ca="1" si="11"/>
        <v/>
      </c>
      <c r="P42" s="2"/>
      <c r="Q42" s="3"/>
      <c r="R42" s="5" t="str">
        <f t="shared" si="12"/>
        <v/>
      </c>
      <c r="S42" s="3" t="str">
        <f t="shared" si="13"/>
        <v/>
      </c>
      <c r="T42" s="6" t="e">
        <f t="shared" si="14"/>
        <v>#VALUE!</v>
      </c>
      <c r="U42" s="6" t="e">
        <f t="shared" si="15"/>
        <v>#VALUE!</v>
      </c>
    </row>
    <row r="43" spans="5:21" x14ac:dyDescent="0.25">
      <c r="E43" s="2"/>
      <c r="J43" s="3"/>
      <c r="K43" s="3" t="str">
        <f t="shared" si="8"/>
        <v/>
      </c>
      <c r="L43" s="3" t="str">
        <f t="shared" si="9"/>
        <v/>
      </c>
      <c r="M43" s="3" t="str">
        <f t="shared" si="10"/>
        <v/>
      </c>
      <c r="O43" s="4" t="str">
        <f t="shared" ca="1" si="11"/>
        <v/>
      </c>
      <c r="P43" s="2"/>
      <c r="Q43" s="3"/>
      <c r="R43" s="5" t="str">
        <f t="shared" si="12"/>
        <v/>
      </c>
      <c r="S43" s="3" t="str">
        <f t="shared" si="13"/>
        <v/>
      </c>
      <c r="T43" s="6" t="e">
        <f t="shared" si="14"/>
        <v>#VALUE!</v>
      </c>
      <c r="U43" s="6" t="e">
        <f t="shared" si="15"/>
        <v>#VALUE!</v>
      </c>
    </row>
    <row r="44" spans="5:21" x14ac:dyDescent="0.25">
      <c r="E44" s="2"/>
      <c r="J44" s="3"/>
      <c r="K44" s="3" t="str">
        <f t="shared" si="8"/>
        <v/>
      </c>
      <c r="L44" s="3" t="str">
        <f t="shared" si="9"/>
        <v/>
      </c>
      <c r="M44" s="3" t="str">
        <f t="shared" si="10"/>
        <v/>
      </c>
      <c r="O44" s="4" t="str">
        <f t="shared" ca="1" si="11"/>
        <v/>
      </c>
      <c r="P44" s="2"/>
      <c r="Q44" s="3"/>
      <c r="R44" s="5" t="str">
        <f t="shared" si="12"/>
        <v/>
      </c>
      <c r="S44" s="3" t="str">
        <f t="shared" si="13"/>
        <v/>
      </c>
      <c r="T44" s="6" t="e">
        <f t="shared" si="14"/>
        <v>#VALUE!</v>
      </c>
      <c r="U44" s="6" t="e">
        <f t="shared" si="15"/>
        <v>#VALUE!</v>
      </c>
    </row>
    <row r="45" spans="5:21" x14ac:dyDescent="0.25">
      <c r="E45" s="2"/>
      <c r="J45" s="3"/>
      <c r="K45" s="3" t="str">
        <f t="shared" si="8"/>
        <v/>
      </c>
      <c r="L45" s="3" t="str">
        <f t="shared" si="9"/>
        <v/>
      </c>
      <c r="M45" s="3" t="str">
        <f t="shared" si="10"/>
        <v/>
      </c>
      <c r="O45" s="4" t="str">
        <f t="shared" ca="1" si="11"/>
        <v/>
      </c>
      <c r="P45" s="2"/>
      <c r="Q45" s="3"/>
      <c r="R45" s="5" t="str">
        <f t="shared" si="12"/>
        <v/>
      </c>
      <c r="S45" s="3" t="str">
        <f t="shared" si="13"/>
        <v/>
      </c>
      <c r="T45" s="6" t="e">
        <f t="shared" si="14"/>
        <v>#VALUE!</v>
      </c>
      <c r="U45" s="6" t="e">
        <f t="shared" si="15"/>
        <v>#VALUE!</v>
      </c>
    </row>
    <row r="46" spans="5:21" x14ac:dyDescent="0.25">
      <c r="E46" s="2"/>
      <c r="J46" s="3"/>
      <c r="K46" s="3" t="str">
        <f t="shared" si="8"/>
        <v/>
      </c>
      <c r="L46" s="3" t="str">
        <f t="shared" si="9"/>
        <v/>
      </c>
      <c r="M46" s="3" t="str">
        <f t="shared" si="10"/>
        <v/>
      </c>
      <c r="O46" s="4" t="str">
        <f t="shared" ca="1" si="11"/>
        <v/>
      </c>
      <c r="P46" s="2"/>
      <c r="Q46" s="3"/>
      <c r="R46" s="5" t="str">
        <f t="shared" si="12"/>
        <v/>
      </c>
      <c r="S46" s="3" t="str">
        <f t="shared" si="13"/>
        <v/>
      </c>
      <c r="T46" s="6" t="e">
        <f t="shared" si="14"/>
        <v>#VALUE!</v>
      </c>
      <c r="U46" s="6" t="e">
        <f t="shared" si="15"/>
        <v>#VALUE!</v>
      </c>
    </row>
    <row r="47" spans="5:21" x14ac:dyDescent="0.25">
      <c r="E47" s="2"/>
      <c r="J47" s="3"/>
      <c r="K47" s="3" t="str">
        <f t="shared" si="8"/>
        <v/>
      </c>
      <c r="L47" s="3" t="str">
        <f t="shared" si="9"/>
        <v/>
      </c>
      <c r="M47" s="3" t="str">
        <f t="shared" si="10"/>
        <v/>
      </c>
      <c r="O47" s="4" t="str">
        <f t="shared" ca="1" si="11"/>
        <v/>
      </c>
      <c r="P47" s="2"/>
      <c r="Q47" s="3"/>
      <c r="R47" s="5" t="str">
        <f t="shared" si="12"/>
        <v/>
      </c>
      <c r="S47" s="3" t="str">
        <f t="shared" si="13"/>
        <v/>
      </c>
      <c r="T47" s="6" t="e">
        <f t="shared" si="14"/>
        <v>#VALUE!</v>
      </c>
      <c r="U47" s="6" t="e">
        <f t="shared" si="15"/>
        <v>#VALUE!</v>
      </c>
    </row>
    <row r="48" spans="5:21" x14ac:dyDescent="0.25">
      <c r="E48" s="2"/>
      <c r="J48" s="3"/>
      <c r="K48" s="3" t="str">
        <f t="shared" si="8"/>
        <v/>
      </c>
      <c r="L48" s="3" t="str">
        <f t="shared" si="9"/>
        <v/>
      </c>
      <c r="M48" s="3" t="str">
        <f t="shared" si="10"/>
        <v/>
      </c>
      <c r="O48" s="4" t="str">
        <f t="shared" ca="1" si="11"/>
        <v/>
      </c>
      <c r="P48" s="2"/>
      <c r="Q48" s="3"/>
      <c r="R48" s="5" t="str">
        <f t="shared" si="12"/>
        <v/>
      </c>
      <c r="S48" s="3" t="str">
        <f t="shared" si="13"/>
        <v/>
      </c>
      <c r="T48" s="6" t="e">
        <f t="shared" si="14"/>
        <v>#VALUE!</v>
      </c>
      <c r="U48" s="6" t="e">
        <f t="shared" si="15"/>
        <v>#VALUE!</v>
      </c>
    </row>
    <row r="49" spans="5:21" x14ac:dyDescent="0.25">
      <c r="E49" s="2"/>
      <c r="J49" s="3"/>
      <c r="K49" s="3" t="str">
        <f t="shared" si="8"/>
        <v/>
      </c>
      <c r="L49" s="3" t="str">
        <f t="shared" si="9"/>
        <v/>
      </c>
      <c r="M49" s="3" t="str">
        <f t="shared" si="10"/>
        <v/>
      </c>
      <c r="O49" s="4" t="str">
        <f t="shared" ca="1" si="11"/>
        <v/>
      </c>
      <c r="P49" s="2"/>
      <c r="Q49" s="3"/>
      <c r="R49" s="5" t="str">
        <f t="shared" si="12"/>
        <v/>
      </c>
      <c r="S49" s="3" t="str">
        <f t="shared" si="13"/>
        <v/>
      </c>
      <c r="T49" s="6" t="e">
        <f t="shared" si="14"/>
        <v>#VALUE!</v>
      </c>
      <c r="U49" s="6" t="e">
        <f t="shared" si="15"/>
        <v>#VALUE!</v>
      </c>
    </row>
    <row r="50" spans="5:21" x14ac:dyDescent="0.25">
      <c r="E50" s="2"/>
      <c r="J50" s="3"/>
      <c r="K50" s="3" t="str">
        <f t="shared" si="8"/>
        <v/>
      </c>
      <c r="L50" s="3" t="str">
        <f t="shared" si="9"/>
        <v/>
      </c>
      <c r="M50" s="3" t="str">
        <f t="shared" si="10"/>
        <v/>
      </c>
      <c r="O50" s="4" t="str">
        <f t="shared" ca="1" si="11"/>
        <v/>
      </c>
      <c r="P50" s="2"/>
      <c r="Q50" s="3"/>
      <c r="R50" s="5" t="str">
        <f t="shared" si="12"/>
        <v/>
      </c>
      <c r="S50" s="3" t="str">
        <f t="shared" si="13"/>
        <v/>
      </c>
      <c r="T50" s="6" t="e">
        <f t="shared" si="14"/>
        <v>#VALUE!</v>
      </c>
      <c r="U50" s="6" t="e">
        <f t="shared" si="15"/>
        <v>#VALUE!</v>
      </c>
    </row>
    <row r="51" spans="5:21" x14ac:dyDescent="0.25">
      <c r="E51" s="2"/>
      <c r="J51" s="3"/>
      <c r="K51" s="3" t="str">
        <f t="shared" si="8"/>
        <v/>
      </c>
      <c r="L51" s="3" t="str">
        <f t="shared" si="9"/>
        <v/>
      </c>
      <c r="M51" s="3" t="str">
        <f t="shared" si="10"/>
        <v/>
      </c>
      <c r="O51" s="4" t="str">
        <f t="shared" ca="1" si="11"/>
        <v/>
      </c>
      <c r="P51" s="2"/>
      <c r="Q51" s="3"/>
      <c r="R51" s="5" t="str">
        <f t="shared" si="12"/>
        <v/>
      </c>
      <c r="S51" s="3" t="str">
        <f t="shared" si="13"/>
        <v/>
      </c>
      <c r="T51" s="6" t="e">
        <f t="shared" si="14"/>
        <v>#VALUE!</v>
      </c>
      <c r="U51" s="6" t="e">
        <f t="shared" si="15"/>
        <v>#VALUE!</v>
      </c>
    </row>
    <row r="52" spans="5:21" x14ac:dyDescent="0.25">
      <c r="E52" s="2"/>
      <c r="J52" s="3"/>
      <c r="K52" s="3" t="str">
        <f t="shared" si="8"/>
        <v/>
      </c>
      <c r="L52" s="3" t="str">
        <f t="shared" si="9"/>
        <v/>
      </c>
      <c r="M52" s="3" t="str">
        <f t="shared" si="10"/>
        <v/>
      </c>
      <c r="O52" s="4" t="str">
        <f t="shared" ca="1" si="11"/>
        <v/>
      </c>
      <c r="P52" s="2"/>
      <c r="Q52" s="3"/>
      <c r="R52" s="5" t="str">
        <f t="shared" si="12"/>
        <v/>
      </c>
      <c r="S52" s="3" t="str">
        <f t="shared" si="13"/>
        <v/>
      </c>
      <c r="T52" s="6" t="e">
        <f t="shared" si="14"/>
        <v>#VALUE!</v>
      </c>
      <c r="U52" s="6" t="e">
        <f t="shared" si="15"/>
        <v>#VALUE!</v>
      </c>
    </row>
    <row r="53" spans="5:21" x14ac:dyDescent="0.25">
      <c r="E53" s="2"/>
      <c r="J53" s="3"/>
      <c r="K53" s="3" t="str">
        <f t="shared" si="8"/>
        <v/>
      </c>
      <c r="L53" s="3" t="str">
        <f t="shared" si="9"/>
        <v/>
      </c>
      <c r="M53" s="3" t="str">
        <f t="shared" si="10"/>
        <v/>
      </c>
      <c r="O53" s="4" t="str">
        <f t="shared" ca="1" si="11"/>
        <v/>
      </c>
      <c r="P53" s="2"/>
      <c r="Q53" s="3"/>
      <c r="R53" s="5" t="str">
        <f t="shared" si="12"/>
        <v/>
      </c>
      <c r="S53" s="3" t="str">
        <f t="shared" si="13"/>
        <v/>
      </c>
      <c r="T53" s="6" t="e">
        <f t="shared" si="14"/>
        <v>#VALUE!</v>
      </c>
      <c r="U53" s="6" t="e">
        <f t="shared" si="15"/>
        <v>#VALUE!</v>
      </c>
    </row>
    <row r="54" spans="5:21" x14ac:dyDescent="0.25">
      <c r="E54" s="2"/>
      <c r="J54" s="3"/>
      <c r="K54" s="3" t="str">
        <f t="shared" si="8"/>
        <v/>
      </c>
      <c r="L54" s="3" t="str">
        <f t="shared" si="9"/>
        <v/>
      </c>
      <c r="M54" s="3" t="str">
        <f t="shared" si="10"/>
        <v/>
      </c>
      <c r="O54" s="4" t="str">
        <f t="shared" ca="1" si="11"/>
        <v/>
      </c>
      <c r="P54" s="2"/>
      <c r="Q54" s="3"/>
      <c r="R54" s="5" t="str">
        <f t="shared" si="12"/>
        <v/>
      </c>
      <c r="S54" s="3" t="str">
        <f t="shared" si="13"/>
        <v/>
      </c>
      <c r="T54" s="6" t="e">
        <f t="shared" si="14"/>
        <v>#VALUE!</v>
      </c>
      <c r="U54" s="6" t="e">
        <f t="shared" si="15"/>
        <v>#VALUE!</v>
      </c>
    </row>
    <row r="55" spans="5:21" x14ac:dyDescent="0.25">
      <c r="E55" s="2"/>
      <c r="J55" s="3"/>
      <c r="K55" s="3" t="str">
        <f t="shared" si="8"/>
        <v/>
      </c>
      <c r="L55" s="3" t="str">
        <f t="shared" si="9"/>
        <v/>
      </c>
      <c r="M55" s="3" t="str">
        <f t="shared" si="10"/>
        <v/>
      </c>
      <c r="O55" s="4" t="str">
        <f t="shared" ca="1" si="11"/>
        <v/>
      </c>
      <c r="P55" s="2"/>
      <c r="Q55" s="3"/>
      <c r="R55" s="5" t="str">
        <f t="shared" si="12"/>
        <v/>
      </c>
      <c r="S55" s="3" t="str">
        <f t="shared" si="13"/>
        <v/>
      </c>
      <c r="T55" s="6" t="e">
        <f t="shared" si="14"/>
        <v>#VALUE!</v>
      </c>
      <c r="U55" s="6" t="e">
        <f t="shared" si="15"/>
        <v>#VALUE!</v>
      </c>
    </row>
    <row r="56" spans="5:21" x14ac:dyDescent="0.25">
      <c r="E56" s="2"/>
      <c r="J56" s="3"/>
      <c r="K56" s="3" t="str">
        <f t="shared" si="8"/>
        <v/>
      </c>
      <c r="L56" s="3" t="str">
        <f t="shared" si="9"/>
        <v/>
      </c>
      <c r="M56" s="3" t="str">
        <f t="shared" si="10"/>
        <v/>
      </c>
      <c r="O56" s="4" t="str">
        <f t="shared" ca="1" si="11"/>
        <v/>
      </c>
      <c r="P56" s="2"/>
      <c r="Q56" s="3"/>
      <c r="R56" s="5" t="str">
        <f t="shared" si="12"/>
        <v/>
      </c>
      <c r="S56" s="3" t="str">
        <f t="shared" si="13"/>
        <v/>
      </c>
      <c r="T56" s="6" t="e">
        <f t="shared" si="14"/>
        <v>#VALUE!</v>
      </c>
      <c r="U56" s="6" t="e">
        <f t="shared" si="15"/>
        <v>#VALUE!</v>
      </c>
    </row>
    <row r="57" spans="5:21" x14ac:dyDescent="0.25">
      <c r="E57" s="2"/>
      <c r="J57" s="3"/>
      <c r="K57" s="3" t="str">
        <f t="shared" si="8"/>
        <v/>
      </c>
      <c r="L57" s="3" t="str">
        <f t="shared" si="9"/>
        <v/>
      </c>
      <c r="M57" s="3" t="str">
        <f t="shared" si="10"/>
        <v/>
      </c>
      <c r="O57" s="4" t="str">
        <f t="shared" ca="1" si="11"/>
        <v/>
      </c>
      <c r="P57" s="2"/>
      <c r="Q57" s="3"/>
      <c r="R57" s="5" t="str">
        <f t="shared" si="12"/>
        <v/>
      </c>
      <c r="S57" s="3" t="str">
        <f t="shared" si="13"/>
        <v/>
      </c>
      <c r="T57" s="6" t="e">
        <f t="shared" si="14"/>
        <v>#VALUE!</v>
      </c>
      <c r="U57" s="6" t="e">
        <f t="shared" si="15"/>
        <v>#VALUE!</v>
      </c>
    </row>
    <row r="58" spans="5:21" x14ac:dyDescent="0.25">
      <c r="E58" s="2"/>
      <c r="J58" s="3"/>
      <c r="K58" s="3" t="str">
        <f t="shared" si="8"/>
        <v/>
      </c>
      <c r="L58" s="3" t="str">
        <f t="shared" si="9"/>
        <v/>
      </c>
      <c r="M58" s="3" t="str">
        <f t="shared" si="10"/>
        <v/>
      </c>
      <c r="O58" s="4" t="str">
        <f t="shared" ca="1" si="11"/>
        <v/>
      </c>
      <c r="P58" s="2"/>
      <c r="Q58" s="3"/>
      <c r="R58" s="5" t="str">
        <f t="shared" si="12"/>
        <v/>
      </c>
      <c r="S58" s="3" t="str">
        <f t="shared" si="13"/>
        <v/>
      </c>
      <c r="T58" s="6" t="e">
        <f t="shared" si="14"/>
        <v>#VALUE!</v>
      </c>
      <c r="U58" s="6" t="e">
        <f t="shared" si="15"/>
        <v>#VALUE!</v>
      </c>
    </row>
    <row r="59" spans="5:21" x14ac:dyDescent="0.25">
      <c r="E59" s="2"/>
      <c r="J59" s="3"/>
      <c r="K59" s="3" t="str">
        <f t="shared" si="8"/>
        <v/>
      </c>
      <c r="L59" s="3" t="str">
        <f t="shared" si="9"/>
        <v/>
      </c>
      <c r="M59" s="3" t="str">
        <f t="shared" si="10"/>
        <v/>
      </c>
      <c r="O59" s="4" t="str">
        <f t="shared" ca="1" si="11"/>
        <v/>
      </c>
      <c r="P59" s="2"/>
      <c r="Q59" s="3"/>
      <c r="R59" s="5" t="str">
        <f t="shared" si="12"/>
        <v/>
      </c>
      <c r="S59" s="3" t="str">
        <f t="shared" si="13"/>
        <v/>
      </c>
      <c r="T59" s="6" t="e">
        <f t="shared" si="14"/>
        <v>#VALUE!</v>
      </c>
      <c r="U59" s="6" t="e">
        <f t="shared" si="15"/>
        <v>#VALUE!</v>
      </c>
    </row>
    <row r="60" spans="5:21" x14ac:dyDescent="0.25">
      <c r="E60" s="2"/>
      <c r="J60" s="3"/>
      <c r="K60" s="3" t="str">
        <f t="shared" si="8"/>
        <v/>
      </c>
      <c r="L60" s="3" t="str">
        <f t="shared" si="9"/>
        <v/>
      </c>
      <c r="M60" s="3" t="str">
        <f t="shared" si="10"/>
        <v/>
      </c>
      <c r="O60" s="4" t="str">
        <f t="shared" ca="1" si="11"/>
        <v/>
      </c>
      <c r="P60" s="2"/>
      <c r="Q60" s="3"/>
      <c r="R60" s="5" t="str">
        <f t="shared" si="12"/>
        <v/>
      </c>
      <c r="S60" s="3" t="str">
        <f t="shared" si="13"/>
        <v/>
      </c>
      <c r="T60" s="6" t="e">
        <f t="shared" si="14"/>
        <v>#VALUE!</v>
      </c>
      <c r="U60" s="6" t="e">
        <f t="shared" si="15"/>
        <v>#VALUE!</v>
      </c>
    </row>
    <row r="61" spans="5:21" x14ac:dyDescent="0.25">
      <c r="E61" s="2"/>
      <c r="J61" s="3"/>
      <c r="K61" s="3" t="str">
        <f t="shared" si="8"/>
        <v/>
      </c>
      <c r="L61" s="3" t="str">
        <f t="shared" si="9"/>
        <v/>
      </c>
      <c r="M61" s="3" t="str">
        <f t="shared" si="10"/>
        <v/>
      </c>
      <c r="O61" s="4" t="str">
        <f t="shared" ca="1" si="11"/>
        <v/>
      </c>
      <c r="P61" s="2"/>
      <c r="Q61" s="3"/>
      <c r="R61" s="5" t="str">
        <f t="shared" si="12"/>
        <v/>
      </c>
      <c r="S61" s="3" t="str">
        <f t="shared" si="13"/>
        <v/>
      </c>
      <c r="T61" s="6" t="e">
        <f t="shared" si="14"/>
        <v>#VALUE!</v>
      </c>
      <c r="U61" s="6" t="e">
        <f t="shared" si="15"/>
        <v>#VALUE!</v>
      </c>
    </row>
    <row r="62" spans="5:21" x14ac:dyDescent="0.25">
      <c r="E62" s="2"/>
      <c r="J62" s="3"/>
      <c r="K62" s="3" t="str">
        <f t="shared" si="8"/>
        <v/>
      </c>
      <c r="L62" s="3" t="str">
        <f t="shared" si="9"/>
        <v/>
      </c>
      <c r="M62" s="3" t="str">
        <f t="shared" si="10"/>
        <v/>
      </c>
      <c r="O62" s="4" t="str">
        <f t="shared" ca="1" si="11"/>
        <v/>
      </c>
      <c r="P62" s="2"/>
      <c r="Q62" s="3"/>
      <c r="R62" s="5" t="str">
        <f t="shared" si="12"/>
        <v/>
      </c>
      <c r="S62" s="3" t="str">
        <f t="shared" si="13"/>
        <v/>
      </c>
      <c r="T62" s="6" t="e">
        <f t="shared" si="14"/>
        <v>#VALUE!</v>
      </c>
      <c r="U62" s="6" t="e">
        <f t="shared" si="15"/>
        <v>#VALUE!</v>
      </c>
    </row>
    <row r="63" spans="5:21" x14ac:dyDescent="0.25">
      <c r="E63" s="2"/>
      <c r="J63" s="3"/>
      <c r="K63" s="3" t="str">
        <f t="shared" si="8"/>
        <v/>
      </c>
      <c r="L63" s="3" t="str">
        <f t="shared" si="9"/>
        <v/>
      </c>
      <c r="M63" s="3" t="str">
        <f t="shared" si="10"/>
        <v/>
      </c>
      <c r="O63" s="4" t="str">
        <f t="shared" ca="1" si="11"/>
        <v/>
      </c>
      <c r="P63" s="2"/>
      <c r="Q63" s="3"/>
      <c r="R63" s="5" t="str">
        <f t="shared" si="12"/>
        <v/>
      </c>
      <c r="S63" s="3" t="str">
        <f t="shared" si="13"/>
        <v/>
      </c>
      <c r="T63" s="6" t="e">
        <f t="shared" si="14"/>
        <v>#VALUE!</v>
      </c>
      <c r="U63" s="6" t="e">
        <f t="shared" si="15"/>
        <v>#VALUE!</v>
      </c>
    </row>
    <row r="64" spans="5:21" x14ac:dyDescent="0.25">
      <c r="E64" s="2"/>
      <c r="J64" s="3"/>
      <c r="K64" s="3" t="str">
        <f t="shared" si="8"/>
        <v/>
      </c>
      <c r="L64" s="3" t="str">
        <f t="shared" si="9"/>
        <v/>
      </c>
      <c r="M64" s="3" t="str">
        <f t="shared" si="10"/>
        <v/>
      </c>
      <c r="O64" s="4" t="str">
        <f t="shared" ca="1" si="11"/>
        <v/>
      </c>
      <c r="P64" s="2"/>
      <c r="Q64" s="3"/>
      <c r="R64" s="5" t="str">
        <f t="shared" si="12"/>
        <v/>
      </c>
      <c r="S64" s="3" t="str">
        <f t="shared" si="13"/>
        <v/>
      </c>
      <c r="T64" s="6" t="e">
        <f t="shared" si="14"/>
        <v>#VALUE!</v>
      </c>
      <c r="U64" s="6" t="e">
        <f t="shared" si="15"/>
        <v>#VALUE!</v>
      </c>
    </row>
    <row r="65" spans="5:21" x14ac:dyDescent="0.25">
      <c r="E65" s="2"/>
      <c r="J65" s="3"/>
      <c r="K65" s="3" t="str">
        <f t="shared" si="8"/>
        <v/>
      </c>
      <c r="L65" s="3" t="str">
        <f t="shared" si="9"/>
        <v/>
      </c>
      <c r="M65" s="3" t="str">
        <f t="shared" si="10"/>
        <v/>
      </c>
      <c r="O65" s="4" t="str">
        <f t="shared" ca="1" si="11"/>
        <v/>
      </c>
      <c r="P65" s="2"/>
      <c r="Q65" s="3"/>
      <c r="R65" s="5" t="str">
        <f t="shared" si="12"/>
        <v/>
      </c>
      <c r="S65" s="3" t="str">
        <f t="shared" si="13"/>
        <v/>
      </c>
      <c r="T65" s="6" t="e">
        <f t="shared" si="14"/>
        <v>#VALUE!</v>
      </c>
      <c r="U65" s="6" t="e">
        <f t="shared" si="15"/>
        <v>#VALUE!</v>
      </c>
    </row>
    <row r="66" spans="5:21" x14ac:dyDescent="0.25">
      <c r="E66" s="2"/>
      <c r="J66" s="3"/>
      <c r="K66" s="3" t="str">
        <f t="shared" ref="K66:K101" si="16">IF(OR(ISBLANK(G66),ISBLANK(H66),ISBLANK(I66)),"",(G66-H66)*100*I66)</f>
        <v/>
      </c>
      <c r="L66" s="3" t="str">
        <f t="shared" ref="L66:L101" si="17">IF(OR(ISBLANK(J66),ISBLANK(I66)),"",J66*100*I66)</f>
        <v/>
      </c>
      <c r="M66" s="3" t="str">
        <f t="shared" ref="M66:M101" si="18">IF(ISBLANK(J66),"",J66/2)</f>
        <v/>
      </c>
      <c r="O66" s="4" t="str">
        <f t="shared" ref="O66:O97" ca="1" si="19">IF(ISBLANK(B66), "", IF(ISBLANK(N66), F66 - (TODAY() - B66), "Closed"))</f>
        <v/>
      </c>
      <c r="P66" s="2"/>
      <c r="Q66" s="3"/>
      <c r="R66" s="5" t="str">
        <f t="shared" ref="R66:R101" si="20">IF(OR(ISBLANK(N66),ISBLANK(B66)),"",N66-B66)</f>
        <v/>
      </c>
      <c r="S66" s="3" t="str">
        <f t="shared" ref="S66:S101" si="21">IF(OR(ISBLANK(Q66),ISBLANK(J66),ISBLANK(I66)),"",(J66-Q66)*100*I66)</f>
        <v/>
      </c>
      <c r="T66" s="6" t="e">
        <f t="shared" ref="T66:T97" si="22">IF(OR(ISBLANK(S66),ISBLANK(K66),K66=0),"",S66/K66)</f>
        <v>#VALUE!</v>
      </c>
      <c r="U66" s="6" t="e">
        <f t="shared" ref="U66:U97" si="23">IF(OR(ISBLANK(T66),ISBLANK(R66),R66=0),"",T66*(365/R66))</f>
        <v>#VALUE!</v>
      </c>
    </row>
    <row r="67" spans="5:21" x14ac:dyDescent="0.25">
      <c r="E67" s="2"/>
      <c r="J67" s="3"/>
      <c r="K67" s="3" t="str">
        <f t="shared" si="16"/>
        <v/>
      </c>
      <c r="L67" s="3" t="str">
        <f t="shared" si="17"/>
        <v/>
      </c>
      <c r="M67" s="3" t="str">
        <f t="shared" si="18"/>
        <v/>
      </c>
      <c r="O67" s="4" t="str">
        <f t="shared" ca="1" si="19"/>
        <v/>
      </c>
      <c r="P67" s="2"/>
      <c r="Q67" s="3"/>
      <c r="R67" s="5" t="str">
        <f t="shared" si="20"/>
        <v/>
      </c>
      <c r="S67" s="3" t="str">
        <f t="shared" si="21"/>
        <v/>
      </c>
      <c r="T67" s="6" t="e">
        <f t="shared" si="22"/>
        <v>#VALUE!</v>
      </c>
      <c r="U67" s="6" t="e">
        <f t="shared" si="23"/>
        <v>#VALUE!</v>
      </c>
    </row>
    <row r="68" spans="5:21" x14ac:dyDescent="0.25">
      <c r="E68" s="2"/>
      <c r="J68" s="3"/>
      <c r="K68" s="3" t="str">
        <f t="shared" si="16"/>
        <v/>
      </c>
      <c r="L68" s="3" t="str">
        <f t="shared" si="17"/>
        <v/>
      </c>
      <c r="M68" s="3" t="str">
        <f t="shared" si="18"/>
        <v/>
      </c>
      <c r="O68" s="4" t="str">
        <f t="shared" ca="1" si="19"/>
        <v/>
      </c>
      <c r="P68" s="2"/>
      <c r="Q68" s="3"/>
      <c r="R68" s="5" t="str">
        <f t="shared" si="20"/>
        <v/>
      </c>
      <c r="S68" s="3" t="str">
        <f t="shared" si="21"/>
        <v/>
      </c>
      <c r="T68" s="6" t="e">
        <f t="shared" si="22"/>
        <v>#VALUE!</v>
      </c>
      <c r="U68" s="6" t="e">
        <f t="shared" si="23"/>
        <v>#VALUE!</v>
      </c>
    </row>
    <row r="69" spans="5:21" x14ac:dyDescent="0.25">
      <c r="E69" s="2"/>
      <c r="J69" s="3"/>
      <c r="K69" s="3" t="str">
        <f t="shared" si="16"/>
        <v/>
      </c>
      <c r="L69" s="3" t="str">
        <f t="shared" si="17"/>
        <v/>
      </c>
      <c r="M69" s="3" t="str">
        <f t="shared" si="18"/>
        <v/>
      </c>
      <c r="O69" s="4" t="str">
        <f t="shared" ca="1" si="19"/>
        <v/>
      </c>
      <c r="P69" s="2"/>
      <c r="Q69" s="3"/>
      <c r="R69" s="5" t="str">
        <f t="shared" si="20"/>
        <v/>
      </c>
      <c r="S69" s="3" t="str">
        <f t="shared" si="21"/>
        <v/>
      </c>
      <c r="T69" s="6" t="e">
        <f t="shared" si="22"/>
        <v>#VALUE!</v>
      </c>
      <c r="U69" s="6" t="e">
        <f t="shared" si="23"/>
        <v>#VALUE!</v>
      </c>
    </row>
    <row r="70" spans="5:21" x14ac:dyDescent="0.25">
      <c r="E70" s="2"/>
      <c r="J70" s="3"/>
      <c r="K70" s="3" t="str">
        <f t="shared" si="16"/>
        <v/>
      </c>
      <c r="L70" s="3" t="str">
        <f t="shared" si="17"/>
        <v/>
      </c>
      <c r="M70" s="3" t="str">
        <f t="shared" si="18"/>
        <v/>
      </c>
      <c r="O70" s="4" t="str">
        <f t="shared" ca="1" si="19"/>
        <v/>
      </c>
      <c r="P70" s="2"/>
      <c r="Q70" s="3"/>
      <c r="R70" s="5" t="str">
        <f t="shared" si="20"/>
        <v/>
      </c>
      <c r="S70" s="3" t="str">
        <f t="shared" si="21"/>
        <v/>
      </c>
      <c r="T70" s="6" t="e">
        <f t="shared" si="22"/>
        <v>#VALUE!</v>
      </c>
      <c r="U70" s="6" t="e">
        <f t="shared" si="23"/>
        <v>#VALUE!</v>
      </c>
    </row>
    <row r="71" spans="5:21" x14ac:dyDescent="0.25">
      <c r="E71" s="2"/>
      <c r="J71" s="3"/>
      <c r="K71" s="3" t="str">
        <f t="shared" si="16"/>
        <v/>
      </c>
      <c r="L71" s="3" t="str">
        <f t="shared" si="17"/>
        <v/>
      </c>
      <c r="M71" s="3" t="str">
        <f t="shared" si="18"/>
        <v/>
      </c>
      <c r="O71" s="4" t="str">
        <f t="shared" ca="1" si="19"/>
        <v/>
      </c>
      <c r="P71" s="2"/>
      <c r="Q71" s="3"/>
      <c r="R71" s="5" t="str">
        <f t="shared" si="20"/>
        <v/>
      </c>
      <c r="S71" s="3" t="str">
        <f t="shared" si="21"/>
        <v/>
      </c>
      <c r="T71" s="6" t="e">
        <f t="shared" si="22"/>
        <v>#VALUE!</v>
      </c>
      <c r="U71" s="6" t="e">
        <f t="shared" si="23"/>
        <v>#VALUE!</v>
      </c>
    </row>
    <row r="72" spans="5:21" x14ac:dyDescent="0.25">
      <c r="E72" s="2"/>
      <c r="J72" s="3"/>
      <c r="K72" s="3" t="str">
        <f t="shared" si="16"/>
        <v/>
      </c>
      <c r="L72" s="3" t="str">
        <f t="shared" si="17"/>
        <v/>
      </c>
      <c r="M72" s="3" t="str">
        <f t="shared" si="18"/>
        <v/>
      </c>
      <c r="O72" s="4" t="str">
        <f t="shared" ca="1" si="19"/>
        <v/>
      </c>
      <c r="P72" s="2"/>
      <c r="Q72" s="3"/>
      <c r="R72" s="5" t="str">
        <f t="shared" si="20"/>
        <v/>
      </c>
      <c r="S72" s="3" t="str">
        <f t="shared" si="21"/>
        <v/>
      </c>
      <c r="T72" s="6" t="e">
        <f t="shared" si="22"/>
        <v>#VALUE!</v>
      </c>
      <c r="U72" s="6" t="e">
        <f t="shared" si="23"/>
        <v>#VALUE!</v>
      </c>
    </row>
    <row r="73" spans="5:21" x14ac:dyDescent="0.25">
      <c r="E73" s="2"/>
      <c r="J73" s="3"/>
      <c r="K73" s="3" t="str">
        <f t="shared" si="16"/>
        <v/>
      </c>
      <c r="L73" s="3" t="str">
        <f t="shared" si="17"/>
        <v/>
      </c>
      <c r="M73" s="3" t="str">
        <f t="shared" si="18"/>
        <v/>
      </c>
      <c r="O73" s="4" t="str">
        <f t="shared" ca="1" si="19"/>
        <v/>
      </c>
      <c r="P73" s="2"/>
      <c r="Q73" s="3"/>
      <c r="R73" s="5" t="str">
        <f t="shared" si="20"/>
        <v/>
      </c>
      <c r="S73" s="3" t="str">
        <f t="shared" si="21"/>
        <v/>
      </c>
      <c r="T73" s="6" t="e">
        <f t="shared" si="22"/>
        <v>#VALUE!</v>
      </c>
      <c r="U73" s="6" t="e">
        <f t="shared" si="23"/>
        <v>#VALUE!</v>
      </c>
    </row>
    <row r="74" spans="5:21" x14ac:dyDescent="0.25">
      <c r="E74" s="2"/>
      <c r="J74" s="3"/>
      <c r="K74" s="3" t="str">
        <f t="shared" si="16"/>
        <v/>
      </c>
      <c r="L74" s="3" t="str">
        <f t="shared" si="17"/>
        <v/>
      </c>
      <c r="M74" s="3" t="str">
        <f t="shared" si="18"/>
        <v/>
      </c>
      <c r="O74" s="4" t="str">
        <f t="shared" ca="1" si="19"/>
        <v/>
      </c>
      <c r="P74" s="2"/>
      <c r="Q74" s="3"/>
      <c r="R74" s="5" t="str">
        <f t="shared" si="20"/>
        <v/>
      </c>
      <c r="S74" s="3" t="str">
        <f t="shared" si="21"/>
        <v/>
      </c>
      <c r="T74" s="6" t="e">
        <f t="shared" si="22"/>
        <v>#VALUE!</v>
      </c>
      <c r="U74" s="6" t="e">
        <f t="shared" si="23"/>
        <v>#VALUE!</v>
      </c>
    </row>
    <row r="75" spans="5:21" x14ac:dyDescent="0.25">
      <c r="E75" s="2"/>
      <c r="J75" s="3"/>
      <c r="K75" s="3" t="str">
        <f t="shared" si="16"/>
        <v/>
      </c>
      <c r="L75" s="3" t="str">
        <f t="shared" si="17"/>
        <v/>
      </c>
      <c r="M75" s="3" t="str">
        <f t="shared" si="18"/>
        <v/>
      </c>
      <c r="O75" s="4" t="str">
        <f t="shared" ca="1" si="19"/>
        <v/>
      </c>
      <c r="P75" s="2"/>
      <c r="Q75" s="3"/>
      <c r="R75" s="5" t="str">
        <f t="shared" si="20"/>
        <v/>
      </c>
      <c r="S75" s="3" t="str">
        <f t="shared" si="21"/>
        <v/>
      </c>
      <c r="T75" s="6" t="e">
        <f t="shared" si="22"/>
        <v>#VALUE!</v>
      </c>
      <c r="U75" s="6" t="e">
        <f t="shared" si="23"/>
        <v>#VALUE!</v>
      </c>
    </row>
    <row r="76" spans="5:21" x14ac:dyDescent="0.25">
      <c r="E76" s="2"/>
      <c r="J76" s="3"/>
      <c r="K76" s="3" t="str">
        <f t="shared" si="16"/>
        <v/>
      </c>
      <c r="L76" s="3" t="str">
        <f t="shared" si="17"/>
        <v/>
      </c>
      <c r="M76" s="3" t="str">
        <f t="shared" si="18"/>
        <v/>
      </c>
      <c r="O76" s="4" t="str">
        <f t="shared" ca="1" si="19"/>
        <v/>
      </c>
      <c r="P76" s="2"/>
      <c r="Q76" s="3"/>
      <c r="R76" s="5" t="str">
        <f t="shared" si="20"/>
        <v/>
      </c>
      <c r="S76" s="3" t="str">
        <f t="shared" si="21"/>
        <v/>
      </c>
      <c r="T76" s="6" t="e">
        <f t="shared" si="22"/>
        <v>#VALUE!</v>
      </c>
      <c r="U76" s="6" t="e">
        <f t="shared" si="23"/>
        <v>#VALUE!</v>
      </c>
    </row>
    <row r="77" spans="5:21" x14ac:dyDescent="0.25">
      <c r="E77" s="2"/>
      <c r="J77" s="3"/>
      <c r="K77" s="3" t="str">
        <f t="shared" si="16"/>
        <v/>
      </c>
      <c r="L77" s="3" t="str">
        <f t="shared" si="17"/>
        <v/>
      </c>
      <c r="M77" s="3" t="str">
        <f t="shared" si="18"/>
        <v/>
      </c>
      <c r="O77" s="4" t="str">
        <f t="shared" ca="1" si="19"/>
        <v/>
      </c>
      <c r="P77" s="2"/>
      <c r="Q77" s="3"/>
      <c r="R77" s="5" t="str">
        <f t="shared" si="20"/>
        <v/>
      </c>
      <c r="S77" s="3" t="str">
        <f t="shared" si="21"/>
        <v/>
      </c>
      <c r="T77" s="6" t="e">
        <f t="shared" si="22"/>
        <v>#VALUE!</v>
      </c>
      <c r="U77" s="6" t="e">
        <f t="shared" si="23"/>
        <v>#VALUE!</v>
      </c>
    </row>
    <row r="78" spans="5:21" x14ac:dyDescent="0.25">
      <c r="E78" s="2"/>
      <c r="J78" s="3"/>
      <c r="K78" s="3" t="str">
        <f t="shared" si="16"/>
        <v/>
      </c>
      <c r="L78" s="3" t="str">
        <f t="shared" si="17"/>
        <v/>
      </c>
      <c r="M78" s="3" t="str">
        <f t="shared" si="18"/>
        <v/>
      </c>
      <c r="O78" s="4" t="str">
        <f t="shared" ca="1" si="19"/>
        <v/>
      </c>
      <c r="P78" s="2"/>
      <c r="Q78" s="3"/>
      <c r="R78" s="5" t="str">
        <f t="shared" si="20"/>
        <v/>
      </c>
      <c r="S78" s="3" t="str">
        <f t="shared" si="21"/>
        <v/>
      </c>
      <c r="T78" s="6" t="e">
        <f t="shared" si="22"/>
        <v>#VALUE!</v>
      </c>
      <c r="U78" s="6" t="e">
        <f t="shared" si="23"/>
        <v>#VALUE!</v>
      </c>
    </row>
    <row r="79" spans="5:21" x14ac:dyDescent="0.25">
      <c r="E79" s="2"/>
      <c r="J79" s="3"/>
      <c r="K79" s="3" t="str">
        <f t="shared" si="16"/>
        <v/>
      </c>
      <c r="L79" s="3" t="str">
        <f t="shared" si="17"/>
        <v/>
      </c>
      <c r="M79" s="3" t="str">
        <f t="shared" si="18"/>
        <v/>
      </c>
      <c r="O79" s="4" t="str">
        <f t="shared" ca="1" si="19"/>
        <v/>
      </c>
      <c r="P79" s="2"/>
      <c r="Q79" s="3"/>
      <c r="R79" s="5" t="str">
        <f t="shared" si="20"/>
        <v/>
      </c>
      <c r="S79" s="3" t="str">
        <f t="shared" si="21"/>
        <v/>
      </c>
      <c r="T79" s="6" t="e">
        <f t="shared" si="22"/>
        <v>#VALUE!</v>
      </c>
      <c r="U79" s="6" t="e">
        <f t="shared" si="23"/>
        <v>#VALUE!</v>
      </c>
    </row>
    <row r="80" spans="5:21" x14ac:dyDescent="0.25">
      <c r="E80" s="2"/>
      <c r="J80" s="3"/>
      <c r="K80" s="3" t="str">
        <f t="shared" si="16"/>
        <v/>
      </c>
      <c r="L80" s="3" t="str">
        <f t="shared" si="17"/>
        <v/>
      </c>
      <c r="M80" s="3" t="str">
        <f t="shared" si="18"/>
        <v/>
      </c>
      <c r="O80" s="4" t="str">
        <f t="shared" ca="1" si="19"/>
        <v/>
      </c>
      <c r="P80" s="2"/>
      <c r="Q80" s="3"/>
      <c r="R80" s="5" t="str">
        <f t="shared" si="20"/>
        <v/>
      </c>
      <c r="S80" s="3" t="str">
        <f t="shared" si="21"/>
        <v/>
      </c>
      <c r="T80" s="6" t="e">
        <f t="shared" si="22"/>
        <v>#VALUE!</v>
      </c>
      <c r="U80" s="6" t="e">
        <f t="shared" si="23"/>
        <v>#VALUE!</v>
      </c>
    </row>
    <row r="81" spans="5:21" x14ac:dyDescent="0.25">
      <c r="E81" s="2"/>
      <c r="J81" s="3"/>
      <c r="K81" s="3" t="str">
        <f t="shared" si="16"/>
        <v/>
      </c>
      <c r="L81" s="3" t="str">
        <f t="shared" si="17"/>
        <v/>
      </c>
      <c r="M81" s="3" t="str">
        <f t="shared" si="18"/>
        <v/>
      </c>
      <c r="O81" s="4" t="str">
        <f t="shared" ca="1" si="19"/>
        <v/>
      </c>
      <c r="P81" s="2"/>
      <c r="Q81" s="3"/>
      <c r="R81" s="5" t="str">
        <f t="shared" si="20"/>
        <v/>
      </c>
      <c r="S81" s="3" t="str">
        <f t="shared" si="21"/>
        <v/>
      </c>
      <c r="T81" s="6" t="e">
        <f t="shared" si="22"/>
        <v>#VALUE!</v>
      </c>
      <c r="U81" s="6" t="e">
        <f t="shared" si="23"/>
        <v>#VALUE!</v>
      </c>
    </row>
    <row r="82" spans="5:21" x14ac:dyDescent="0.25">
      <c r="E82" s="2"/>
      <c r="J82" s="3"/>
      <c r="K82" s="3" t="str">
        <f t="shared" si="16"/>
        <v/>
      </c>
      <c r="L82" s="3" t="str">
        <f t="shared" si="17"/>
        <v/>
      </c>
      <c r="M82" s="3" t="str">
        <f t="shared" si="18"/>
        <v/>
      </c>
      <c r="O82" s="4" t="str">
        <f t="shared" ca="1" si="19"/>
        <v/>
      </c>
      <c r="P82" s="2"/>
      <c r="Q82" s="3"/>
      <c r="R82" s="5" t="str">
        <f t="shared" si="20"/>
        <v/>
      </c>
      <c r="S82" s="3" t="str">
        <f t="shared" si="21"/>
        <v/>
      </c>
      <c r="T82" s="6" t="e">
        <f t="shared" si="22"/>
        <v>#VALUE!</v>
      </c>
      <c r="U82" s="6" t="e">
        <f t="shared" si="23"/>
        <v>#VALUE!</v>
      </c>
    </row>
    <row r="83" spans="5:21" x14ac:dyDescent="0.25">
      <c r="E83" s="2"/>
      <c r="J83" s="3"/>
      <c r="K83" s="3" t="str">
        <f t="shared" si="16"/>
        <v/>
      </c>
      <c r="L83" s="3" t="str">
        <f t="shared" si="17"/>
        <v/>
      </c>
      <c r="M83" s="3" t="str">
        <f t="shared" si="18"/>
        <v/>
      </c>
      <c r="O83" s="4" t="str">
        <f t="shared" ca="1" si="19"/>
        <v/>
      </c>
      <c r="P83" s="2"/>
      <c r="Q83" s="3"/>
      <c r="R83" s="5" t="str">
        <f t="shared" si="20"/>
        <v/>
      </c>
      <c r="S83" s="3" t="str">
        <f t="shared" si="21"/>
        <v/>
      </c>
      <c r="T83" s="6" t="e">
        <f t="shared" si="22"/>
        <v>#VALUE!</v>
      </c>
      <c r="U83" s="6" t="e">
        <f t="shared" si="23"/>
        <v>#VALUE!</v>
      </c>
    </row>
    <row r="84" spans="5:21" x14ac:dyDescent="0.25">
      <c r="E84" s="2"/>
      <c r="J84" s="3"/>
      <c r="K84" s="3" t="str">
        <f t="shared" si="16"/>
        <v/>
      </c>
      <c r="L84" s="3" t="str">
        <f t="shared" si="17"/>
        <v/>
      </c>
      <c r="M84" s="3" t="str">
        <f t="shared" si="18"/>
        <v/>
      </c>
      <c r="O84" s="4" t="str">
        <f t="shared" ca="1" si="19"/>
        <v/>
      </c>
      <c r="P84" s="2"/>
      <c r="Q84" s="3"/>
      <c r="R84" s="5" t="str">
        <f t="shared" si="20"/>
        <v/>
      </c>
      <c r="S84" s="3" t="str">
        <f t="shared" si="21"/>
        <v/>
      </c>
      <c r="T84" s="6" t="e">
        <f t="shared" si="22"/>
        <v>#VALUE!</v>
      </c>
      <c r="U84" s="6" t="e">
        <f t="shared" si="23"/>
        <v>#VALUE!</v>
      </c>
    </row>
    <row r="85" spans="5:21" x14ac:dyDescent="0.25">
      <c r="E85" s="2"/>
      <c r="J85" s="3"/>
      <c r="K85" s="3" t="str">
        <f t="shared" si="16"/>
        <v/>
      </c>
      <c r="L85" s="3" t="str">
        <f t="shared" si="17"/>
        <v/>
      </c>
      <c r="M85" s="3" t="str">
        <f t="shared" si="18"/>
        <v/>
      </c>
      <c r="O85" s="4" t="str">
        <f t="shared" ca="1" si="19"/>
        <v/>
      </c>
      <c r="P85" s="2"/>
      <c r="Q85" s="3"/>
      <c r="R85" s="5" t="str">
        <f t="shared" si="20"/>
        <v/>
      </c>
      <c r="S85" s="3" t="str">
        <f t="shared" si="21"/>
        <v/>
      </c>
      <c r="T85" s="6" t="e">
        <f t="shared" si="22"/>
        <v>#VALUE!</v>
      </c>
      <c r="U85" s="6" t="e">
        <f t="shared" si="23"/>
        <v>#VALUE!</v>
      </c>
    </row>
    <row r="86" spans="5:21" x14ac:dyDescent="0.25">
      <c r="E86" s="2"/>
      <c r="J86" s="3"/>
      <c r="K86" s="3" t="str">
        <f t="shared" si="16"/>
        <v/>
      </c>
      <c r="L86" s="3" t="str">
        <f t="shared" si="17"/>
        <v/>
      </c>
      <c r="M86" s="3" t="str">
        <f t="shared" si="18"/>
        <v/>
      </c>
      <c r="O86" s="4" t="str">
        <f t="shared" ca="1" si="19"/>
        <v/>
      </c>
      <c r="P86" s="2"/>
      <c r="Q86" s="3"/>
      <c r="R86" s="5" t="str">
        <f t="shared" si="20"/>
        <v/>
      </c>
      <c r="S86" s="3" t="str">
        <f t="shared" si="21"/>
        <v/>
      </c>
      <c r="T86" s="6" t="e">
        <f t="shared" si="22"/>
        <v>#VALUE!</v>
      </c>
      <c r="U86" s="6" t="e">
        <f t="shared" si="23"/>
        <v>#VALUE!</v>
      </c>
    </row>
    <row r="87" spans="5:21" x14ac:dyDescent="0.25">
      <c r="E87" s="2"/>
      <c r="J87" s="3"/>
      <c r="K87" s="3" t="str">
        <f t="shared" si="16"/>
        <v/>
      </c>
      <c r="L87" s="3" t="str">
        <f t="shared" si="17"/>
        <v/>
      </c>
      <c r="M87" s="3" t="str">
        <f t="shared" si="18"/>
        <v/>
      </c>
      <c r="O87" s="4" t="str">
        <f t="shared" ca="1" si="19"/>
        <v/>
      </c>
      <c r="P87" s="2"/>
      <c r="Q87" s="3"/>
      <c r="R87" s="5" t="str">
        <f t="shared" si="20"/>
        <v/>
      </c>
      <c r="S87" s="3" t="str">
        <f t="shared" si="21"/>
        <v/>
      </c>
      <c r="T87" s="6" t="e">
        <f t="shared" si="22"/>
        <v>#VALUE!</v>
      </c>
      <c r="U87" s="6" t="e">
        <f t="shared" si="23"/>
        <v>#VALUE!</v>
      </c>
    </row>
    <row r="88" spans="5:21" x14ac:dyDescent="0.25">
      <c r="E88" s="2"/>
      <c r="J88" s="3"/>
      <c r="K88" s="3" t="str">
        <f t="shared" si="16"/>
        <v/>
      </c>
      <c r="L88" s="3" t="str">
        <f t="shared" si="17"/>
        <v/>
      </c>
      <c r="M88" s="3" t="str">
        <f t="shared" si="18"/>
        <v/>
      </c>
      <c r="O88" s="4" t="str">
        <f t="shared" ca="1" si="19"/>
        <v/>
      </c>
      <c r="P88" s="2"/>
      <c r="Q88" s="3"/>
      <c r="R88" s="5" t="str">
        <f t="shared" si="20"/>
        <v/>
      </c>
      <c r="S88" s="3" t="str">
        <f t="shared" si="21"/>
        <v/>
      </c>
      <c r="T88" s="6" t="e">
        <f t="shared" si="22"/>
        <v>#VALUE!</v>
      </c>
      <c r="U88" s="6" t="e">
        <f t="shared" si="23"/>
        <v>#VALUE!</v>
      </c>
    </row>
    <row r="89" spans="5:21" x14ac:dyDescent="0.25">
      <c r="E89" s="2"/>
      <c r="J89" s="3"/>
      <c r="K89" s="3" t="str">
        <f t="shared" si="16"/>
        <v/>
      </c>
      <c r="L89" s="3" t="str">
        <f t="shared" si="17"/>
        <v/>
      </c>
      <c r="M89" s="3" t="str">
        <f t="shared" si="18"/>
        <v/>
      </c>
      <c r="O89" s="4" t="str">
        <f t="shared" ca="1" si="19"/>
        <v/>
      </c>
      <c r="P89" s="2"/>
      <c r="Q89" s="3"/>
      <c r="R89" s="5" t="str">
        <f t="shared" si="20"/>
        <v/>
      </c>
      <c r="S89" s="3" t="str">
        <f t="shared" si="21"/>
        <v/>
      </c>
      <c r="T89" s="6" t="e">
        <f t="shared" si="22"/>
        <v>#VALUE!</v>
      </c>
      <c r="U89" s="6" t="e">
        <f t="shared" si="23"/>
        <v>#VALUE!</v>
      </c>
    </row>
    <row r="90" spans="5:21" x14ac:dyDescent="0.25">
      <c r="E90" s="2"/>
      <c r="J90" s="3"/>
      <c r="K90" s="3" t="str">
        <f t="shared" si="16"/>
        <v/>
      </c>
      <c r="L90" s="3" t="str">
        <f t="shared" si="17"/>
        <v/>
      </c>
      <c r="M90" s="3" t="str">
        <f t="shared" si="18"/>
        <v/>
      </c>
      <c r="O90" s="4" t="str">
        <f t="shared" ca="1" si="19"/>
        <v/>
      </c>
      <c r="P90" s="2"/>
      <c r="Q90" s="3"/>
      <c r="R90" s="5" t="str">
        <f t="shared" si="20"/>
        <v/>
      </c>
      <c r="S90" s="3" t="str">
        <f t="shared" si="21"/>
        <v/>
      </c>
      <c r="T90" s="6" t="e">
        <f t="shared" si="22"/>
        <v>#VALUE!</v>
      </c>
      <c r="U90" s="6" t="e">
        <f t="shared" si="23"/>
        <v>#VALUE!</v>
      </c>
    </row>
    <row r="91" spans="5:21" x14ac:dyDescent="0.25">
      <c r="E91" s="2"/>
      <c r="J91" s="3"/>
      <c r="K91" s="3" t="str">
        <f t="shared" si="16"/>
        <v/>
      </c>
      <c r="L91" s="3" t="str">
        <f t="shared" si="17"/>
        <v/>
      </c>
      <c r="M91" s="3" t="str">
        <f t="shared" si="18"/>
        <v/>
      </c>
      <c r="O91" s="4" t="str">
        <f t="shared" ca="1" si="19"/>
        <v/>
      </c>
      <c r="P91" s="2"/>
      <c r="Q91" s="3"/>
      <c r="R91" s="5" t="str">
        <f t="shared" si="20"/>
        <v/>
      </c>
      <c r="S91" s="3" t="str">
        <f t="shared" si="21"/>
        <v/>
      </c>
      <c r="T91" s="6" t="e">
        <f t="shared" si="22"/>
        <v>#VALUE!</v>
      </c>
      <c r="U91" s="6" t="e">
        <f t="shared" si="23"/>
        <v>#VALUE!</v>
      </c>
    </row>
    <row r="92" spans="5:21" x14ac:dyDescent="0.25">
      <c r="E92" s="2"/>
      <c r="J92" s="3"/>
      <c r="K92" s="3" t="str">
        <f t="shared" si="16"/>
        <v/>
      </c>
      <c r="L92" s="3" t="str">
        <f t="shared" si="17"/>
        <v/>
      </c>
      <c r="M92" s="3" t="str">
        <f t="shared" si="18"/>
        <v/>
      </c>
      <c r="O92" s="4" t="str">
        <f t="shared" ca="1" si="19"/>
        <v/>
      </c>
      <c r="P92" s="2"/>
      <c r="Q92" s="3"/>
      <c r="R92" s="5" t="str">
        <f t="shared" si="20"/>
        <v/>
      </c>
      <c r="S92" s="3" t="str">
        <f t="shared" si="21"/>
        <v/>
      </c>
      <c r="T92" s="6" t="e">
        <f t="shared" si="22"/>
        <v>#VALUE!</v>
      </c>
      <c r="U92" s="6" t="e">
        <f t="shared" si="23"/>
        <v>#VALUE!</v>
      </c>
    </row>
    <row r="93" spans="5:21" x14ac:dyDescent="0.25">
      <c r="E93" s="2"/>
      <c r="J93" s="3"/>
      <c r="K93" s="3" t="str">
        <f t="shared" si="16"/>
        <v/>
      </c>
      <c r="L93" s="3" t="str">
        <f t="shared" si="17"/>
        <v/>
      </c>
      <c r="M93" s="3" t="str">
        <f t="shared" si="18"/>
        <v/>
      </c>
      <c r="O93" s="4" t="str">
        <f t="shared" ca="1" si="19"/>
        <v/>
      </c>
      <c r="P93" s="2"/>
      <c r="Q93" s="3"/>
      <c r="R93" s="5" t="str">
        <f t="shared" si="20"/>
        <v/>
      </c>
      <c r="S93" s="3" t="str">
        <f t="shared" si="21"/>
        <v/>
      </c>
      <c r="T93" s="6" t="e">
        <f t="shared" si="22"/>
        <v>#VALUE!</v>
      </c>
      <c r="U93" s="6" t="e">
        <f t="shared" si="23"/>
        <v>#VALUE!</v>
      </c>
    </row>
    <row r="94" spans="5:21" x14ac:dyDescent="0.25">
      <c r="E94" s="2"/>
      <c r="J94" s="3"/>
      <c r="K94" s="3" t="str">
        <f t="shared" si="16"/>
        <v/>
      </c>
      <c r="L94" s="3" t="str">
        <f t="shared" si="17"/>
        <v/>
      </c>
      <c r="M94" s="3" t="str">
        <f t="shared" si="18"/>
        <v/>
      </c>
      <c r="O94" s="4" t="str">
        <f t="shared" ca="1" si="19"/>
        <v/>
      </c>
      <c r="P94" s="2"/>
      <c r="Q94" s="3"/>
      <c r="R94" s="5" t="str">
        <f t="shared" si="20"/>
        <v/>
      </c>
      <c r="S94" s="3" t="str">
        <f t="shared" si="21"/>
        <v/>
      </c>
      <c r="T94" s="6" t="e">
        <f t="shared" si="22"/>
        <v>#VALUE!</v>
      </c>
      <c r="U94" s="6" t="e">
        <f t="shared" si="23"/>
        <v>#VALUE!</v>
      </c>
    </row>
    <row r="95" spans="5:21" x14ac:dyDescent="0.25">
      <c r="E95" s="2"/>
      <c r="J95" s="3"/>
      <c r="K95" s="3" t="str">
        <f t="shared" si="16"/>
        <v/>
      </c>
      <c r="L95" s="3" t="str">
        <f t="shared" si="17"/>
        <v/>
      </c>
      <c r="M95" s="3" t="str">
        <f t="shared" si="18"/>
        <v/>
      </c>
      <c r="O95" s="4" t="str">
        <f t="shared" ca="1" si="19"/>
        <v/>
      </c>
      <c r="P95" s="2"/>
      <c r="Q95" s="3"/>
      <c r="R95" s="5" t="str">
        <f t="shared" si="20"/>
        <v/>
      </c>
      <c r="S95" s="3" t="str">
        <f t="shared" si="21"/>
        <v/>
      </c>
      <c r="T95" s="6" t="e">
        <f t="shared" si="22"/>
        <v>#VALUE!</v>
      </c>
      <c r="U95" s="6" t="e">
        <f t="shared" si="23"/>
        <v>#VALUE!</v>
      </c>
    </row>
    <row r="96" spans="5:21" x14ac:dyDescent="0.25">
      <c r="E96" s="2"/>
      <c r="J96" s="3"/>
      <c r="K96" s="3" t="str">
        <f t="shared" si="16"/>
        <v/>
      </c>
      <c r="L96" s="3" t="str">
        <f t="shared" si="17"/>
        <v/>
      </c>
      <c r="M96" s="3" t="str">
        <f t="shared" si="18"/>
        <v/>
      </c>
      <c r="O96" s="4" t="str">
        <f t="shared" ca="1" si="19"/>
        <v/>
      </c>
      <c r="P96" s="2"/>
      <c r="Q96" s="3"/>
      <c r="R96" s="5" t="str">
        <f t="shared" si="20"/>
        <v/>
      </c>
      <c r="S96" s="3" t="str">
        <f t="shared" si="21"/>
        <v/>
      </c>
      <c r="T96" s="6" t="e">
        <f t="shared" si="22"/>
        <v>#VALUE!</v>
      </c>
      <c r="U96" s="6" t="e">
        <f t="shared" si="23"/>
        <v>#VALUE!</v>
      </c>
    </row>
    <row r="97" spans="5:21" x14ac:dyDescent="0.25">
      <c r="E97" s="2"/>
      <c r="J97" s="3"/>
      <c r="K97" s="3" t="str">
        <f t="shared" si="16"/>
        <v/>
      </c>
      <c r="L97" s="3" t="str">
        <f t="shared" si="17"/>
        <v/>
      </c>
      <c r="M97" s="3" t="str">
        <f t="shared" si="18"/>
        <v/>
      </c>
      <c r="O97" s="4" t="str">
        <f t="shared" ca="1" si="19"/>
        <v/>
      </c>
      <c r="P97" s="2"/>
      <c r="Q97" s="3"/>
      <c r="R97" s="5" t="str">
        <f t="shared" si="20"/>
        <v/>
      </c>
      <c r="S97" s="3" t="str">
        <f t="shared" si="21"/>
        <v/>
      </c>
      <c r="T97" s="6" t="e">
        <f t="shared" si="22"/>
        <v>#VALUE!</v>
      </c>
      <c r="U97" s="6" t="e">
        <f t="shared" si="23"/>
        <v>#VALUE!</v>
      </c>
    </row>
    <row r="98" spans="5:21" x14ac:dyDescent="0.25">
      <c r="E98" s="2"/>
      <c r="J98" s="3"/>
      <c r="K98" s="3" t="str">
        <f t="shared" si="16"/>
        <v/>
      </c>
      <c r="L98" s="3" t="str">
        <f t="shared" si="17"/>
        <v/>
      </c>
      <c r="M98" s="3" t="str">
        <f t="shared" si="18"/>
        <v/>
      </c>
      <c r="O98" s="4" t="str">
        <f t="shared" ref="O98:O129" ca="1" si="24">IF(ISBLANK(B98), "", IF(ISBLANK(N98), F98 - (TODAY() - B98), "Closed"))</f>
        <v/>
      </c>
      <c r="P98" s="2"/>
      <c r="Q98" s="3"/>
      <c r="R98" s="5" t="str">
        <f t="shared" si="20"/>
        <v/>
      </c>
      <c r="S98" s="3" t="str">
        <f t="shared" si="21"/>
        <v/>
      </c>
      <c r="T98" s="6" t="e">
        <f t="shared" ref="T98:T129" si="25">IF(OR(ISBLANK(S98),ISBLANK(K98),K98=0),"",S98/K98)</f>
        <v>#VALUE!</v>
      </c>
      <c r="U98" s="6" t="e">
        <f t="shared" ref="U98:U129" si="26">IF(OR(ISBLANK(T98),ISBLANK(R98),R98=0),"",T98*(365/R98))</f>
        <v>#VALUE!</v>
      </c>
    </row>
    <row r="99" spans="5:21" x14ac:dyDescent="0.25">
      <c r="E99" s="2"/>
      <c r="J99" s="3"/>
      <c r="K99" s="3" t="str">
        <f t="shared" si="16"/>
        <v/>
      </c>
      <c r="L99" s="3" t="str">
        <f t="shared" si="17"/>
        <v/>
      </c>
      <c r="M99" s="3" t="str">
        <f t="shared" si="18"/>
        <v/>
      </c>
      <c r="O99" s="4" t="str">
        <f t="shared" ca="1" si="24"/>
        <v/>
      </c>
      <c r="P99" s="2"/>
      <c r="Q99" s="3"/>
      <c r="R99" s="5" t="str">
        <f t="shared" si="20"/>
        <v/>
      </c>
      <c r="S99" s="3" t="str">
        <f t="shared" si="21"/>
        <v/>
      </c>
      <c r="T99" s="6" t="e">
        <f t="shared" si="25"/>
        <v>#VALUE!</v>
      </c>
      <c r="U99" s="6" t="e">
        <f t="shared" si="26"/>
        <v>#VALUE!</v>
      </c>
    </row>
    <row r="100" spans="5:21" x14ac:dyDescent="0.25">
      <c r="E100" s="2"/>
      <c r="J100" s="3"/>
      <c r="K100" s="3" t="str">
        <f t="shared" si="16"/>
        <v/>
      </c>
      <c r="L100" s="3" t="str">
        <f t="shared" si="17"/>
        <v/>
      </c>
      <c r="M100" s="3" t="str">
        <f t="shared" si="18"/>
        <v/>
      </c>
      <c r="O100" s="4" t="str">
        <f t="shared" ca="1" si="24"/>
        <v/>
      </c>
      <c r="P100" s="2"/>
      <c r="Q100" s="3"/>
      <c r="R100" s="5" t="str">
        <f t="shared" si="20"/>
        <v/>
      </c>
      <c r="S100" s="3" t="str">
        <f t="shared" si="21"/>
        <v/>
      </c>
      <c r="T100" s="6" t="e">
        <f t="shared" si="25"/>
        <v>#VALUE!</v>
      </c>
      <c r="U100" s="6" t="e">
        <f t="shared" si="26"/>
        <v>#VALUE!</v>
      </c>
    </row>
    <row r="101" spans="5:21" x14ac:dyDescent="0.25">
      <c r="E101" s="2"/>
      <c r="J101" s="3"/>
      <c r="K101" s="3" t="str">
        <f t="shared" si="16"/>
        <v/>
      </c>
      <c r="L101" s="3" t="str">
        <f t="shared" si="17"/>
        <v/>
      </c>
      <c r="M101" s="3" t="str">
        <f t="shared" si="18"/>
        <v/>
      </c>
      <c r="O101" s="4" t="str">
        <f t="shared" ca="1" si="24"/>
        <v/>
      </c>
      <c r="P101" s="2"/>
      <c r="Q101" s="3"/>
      <c r="R101" s="5" t="str">
        <f t="shared" si="20"/>
        <v/>
      </c>
      <c r="S101" s="3" t="str">
        <f t="shared" si="21"/>
        <v/>
      </c>
      <c r="T101" s="6" t="e">
        <f t="shared" si="25"/>
        <v>#VALUE!</v>
      </c>
      <c r="U101" s="6" t="e">
        <f t="shared" si="26"/>
        <v>#VALUE!</v>
      </c>
    </row>
  </sheetData>
  <conditionalFormatting sqref="R2:R101">
    <cfRule type="cellIs" dxfId="1" priority="1" stopIfTrue="1" operator="lessThanOrEqual">
      <formula>14</formula>
    </cfRule>
  </conditionalFormatting>
  <conditionalFormatting sqref="U2:U101">
    <cfRule type="cellIs" dxfId="0" priority="2" stopIfTrue="1" operator="greaterThan">
      <formula>1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 Ledger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R</cp:lastModifiedBy>
  <dcterms:created xsi:type="dcterms:W3CDTF">2026-04-25T03:24:05Z</dcterms:created>
  <dcterms:modified xsi:type="dcterms:W3CDTF">2026-04-25T04:50:14Z</dcterms:modified>
</cp:coreProperties>
</file>